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Work\"/>
    </mc:Choice>
  </mc:AlternateContent>
  <bookViews>
    <workbookView xWindow="-120" yWindow="-120" windowWidth="19440" windowHeight="15000" firstSheet="9" activeTab="11"/>
  </bookViews>
  <sheets>
    <sheet name="Mhitsa" sheetId="1" r:id="rId1"/>
    <sheet name="Soltam Steel" sheetId="2" r:id="rId2"/>
    <sheet name="Mr Moyo" sheetId="18" r:id="rId3"/>
    <sheet name="Fawcetts" sheetId="3" r:id="rId4"/>
    <sheet name="Nzara ZBC" sheetId="9" r:id="rId5"/>
    <sheet name="No Leak Motors" sheetId="23" r:id="rId6"/>
    <sheet name="Gango" sheetId="10" r:id="rId7"/>
    <sheet name="Masaiti" sheetId="11" r:id="rId8"/>
    <sheet name="Chabaya" sheetId="4" r:id="rId9"/>
    <sheet name="UTD" sheetId="6" r:id="rId10"/>
    <sheet name="Mazinyane" sheetId="12" r:id="rId11"/>
    <sheet name="Sheet2" sheetId="32" r:id="rId12"/>
    <sheet name="Mazowe" sheetId="31" r:id="rId13"/>
    <sheet name="Mazhanje" sheetId="21" r:id="rId14"/>
    <sheet name="Optimus" sheetId="19" r:id="rId15"/>
    <sheet name="Proton Bakers" sheetId="20" r:id="rId16"/>
    <sheet name="Mr Katimu" sheetId="30" r:id="rId17"/>
    <sheet name="Tauzen" sheetId="29" r:id="rId18"/>
    <sheet name="Mr Washington" sheetId="26" r:id="rId19"/>
    <sheet name="Bveke" sheetId="33" r:id="rId20"/>
    <sheet name="Mr Mukote" sheetId="24" r:id="rId21"/>
    <sheet name="Castflow" sheetId="25" r:id="rId22"/>
    <sheet name="Tabatana" sheetId="16" r:id="rId23"/>
    <sheet name="Lisheen" sheetId="7" r:id="rId24"/>
    <sheet name="Cailogistics" sheetId="8" r:id="rId25"/>
    <sheet name="Mr Bhobho" sheetId="22" r:id="rId26"/>
    <sheet name="Maxcede" sheetId="17" r:id="rId27"/>
    <sheet name="Shambare" sheetId="14" r:id="rId28"/>
    <sheet name="Mr Cruiser" sheetId="15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2" l="1"/>
  <c r="E13" i="32"/>
  <c r="E12" i="32" s="1"/>
  <c r="E7" i="32"/>
  <c r="E36" i="7"/>
  <c r="K36" i="7"/>
  <c r="E37" i="7"/>
  <c r="I37" i="7"/>
  <c r="I53" i="2" l="1"/>
  <c r="E50" i="2"/>
  <c r="I51" i="2"/>
  <c r="E19" i="17" l="1"/>
  <c r="K19" i="17"/>
  <c r="E20" i="17"/>
  <c r="I20" i="17"/>
  <c r="E8" i="33" l="1"/>
  <c r="E9" i="33"/>
  <c r="I9" i="33"/>
  <c r="E30" i="26"/>
  <c r="I30" i="26"/>
  <c r="E53" i="12" l="1"/>
  <c r="K53" i="12"/>
  <c r="E54" i="12"/>
  <c r="I54" i="12"/>
  <c r="I43" i="2" l="1"/>
  <c r="E40" i="2"/>
  <c r="E41" i="2"/>
  <c r="I41" i="2"/>
  <c r="E31" i="7" l="1"/>
  <c r="I30" i="25" l="1"/>
  <c r="E28" i="25" l="1"/>
  <c r="E29" i="25"/>
  <c r="I29" i="25"/>
  <c r="E43" i="12" l="1"/>
  <c r="K43" i="12"/>
  <c r="E44" i="12"/>
  <c r="I44" i="12"/>
  <c r="E7" i="31"/>
  <c r="K7" i="31"/>
  <c r="E8" i="31"/>
  <c r="I8" i="31"/>
  <c r="E11" i="9" l="1"/>
  <c r="K10" i="9"/>
  <c r="E12" i="9"/>
  <c r="I12" i="9"/>
  <c r="I98" i="20" l="1"/>
  <c r="E95" i="20"/>
  <c r="M94" i="20"/>
  <c r="M84" i="20"/>
  <c r="E96" i="20"/>
  <c r="I96" i="20"/>
  <c r="E22" i="25" l="1"/>
  <c r="M13" i="25"/>
  <c r="E23" i="25"/>
  <c r="I23" i="25"/>
  <c r="E25" i="7" l="1"/>
  <c r="L23" i="7"/>
  <c r="I26" i="7"/>
  <c r="I86" i="20" l="1"/>
  <c r="E85" i="20" l="1"/>
  <c r="I60" i="8"/>
  <c r="I18" i="26" l="1"/>
  <c r="M71" i="20" l="1"/>
  <c r="E73" i="20"/>
  <c r="I74" i="20"/>
  <c r="M25" i="12" l="1"/>
  <c r="E27" i="12" s="1"/>
  <c r="I28" i="12"/>
  <c r="I51" i="8" l="1"/>
  <c r="E64" i="20" l="1"/>
  <c r="I65" i="20"/>
  <c r="E14" i="7" l="1"/>
  <c r="I10" i="26"/>
  <c r="I59" i="20" l="1"/>
  <c r="I48" i="20"/>
  <c r="I15" i="7" l="1"/>
  <c r="I20" i="23"/>
  <c r="I13" i="23" l="1"/>
  <c r="I7" i="25" l="1"/>
  <c r="I7" i="23" l="1"/>
  <c r="I36" i="8"/>
  <c r="I22" i="18" l="1"/>
  <c r="I21" i="8" l="1"/>
  <c r="I35" i="20"/>
  <c r="I23" i="20" l="1"/>
  <c r="I15" i="18" l="1"/>
  <c r="I11" i="20" l="1"/>
  <c r="I8" i="8" l="1"/>
  <c r="E7" i="18" l="1"/>
  <c r="I8" i="18"/>
  <c r="I25" i="2"/>
</calcChain>
</file>

<file path=xl/sharedStrings.xml><?xml version="1.0" encoding="utf-8"?>
<sst xmlns="http://schemas.openxmlformats.org/spreadsheetml/2006/main" count="616" uniqueCount="259">
  <si>
    <t>Mhitsa Account</t>
  </si>
  <si>
    <t>Date</t>
  </si>
  <si>
    <t>Details</t>
  </si>
  <si>
    <t>Paid</t>
  </si>
  <si>
    <t>Balance b/d</t>
  </si>
  <si>
    <t>Engine Balance</t>
  </si>
  <si>
    <t>Soltam Steel Account</t>
  </si>
  <si>
    <t>Fawcetts Security</t>
  </si>
  <si>
    <t>Invoice FW0055</t>
  </si>
  <si>
    <t>Chabaya Account</t>
  </si>
  <si>
    <t>Chinotimba UTD</t>
  </si>
  <si>
    <t>Invoice UTD001</t>
  </si>
  <si>
    <t>Mtangadura (Lisheen) Account</t>
  </si>
  <si>
    <t>Invoice LE005</t>
  </si>
  <si>
    <t>Cailogistics</t>
  </si>
  <si>
    <t>Nzara ZBC</t>
  </si>
  <si>
    <t>Gango Traditional Foods</t>
  </si>
  <si>
    <t>Invoice GT009</t>
  </si>
  <si>
    <t>Clutch Master</t>
  </si>
  <si>
    <t xml:space="preserve"> </t>
  </si>
  <si>
    <t>Paid (Invoice GT009)</t>
  </si>
  <si>
    <t>Balance Payment</t>
  </si>
  <si>
    <t>Invoice SS030</t>
  </si>
  <si>
    <t>Invoice MZ001</t>
  </si>
  <si>
    <t>Part Payment</t>
  </si>
  <si>
    <t>Marondera Outing</t>
  </si>
  <si>
    <t>Payment</t>
  </si>
  <si>
    <t>Masaiti</t>
  </si>
  <si>
    <t>Service Kit &amp; Labour</t>
  </si>
  <si>
    <t>Balance c/d</t>
  </si>
  <si>
    <t>Invoice SS031</t>
  </si>
  <si>
    <t>Invoice FW0056</t>
  </si>
  <si>
    <t>Invoice FW0057</t>
  </si>
  <si>
    <t>Invoice SH022</t>
  </si>
  <si>
    <t>Front Seal &amp; Labour</t>
  </si>
  <si>
    <t>Shambare</t>
  </si>
  <si>
    <t>Invoice FW0056 &amp; 57</t>
  </si>
  <si>
    <t>Invoice SS031 Balance</t>
  </si>
  <si>
    <t>Discount</t>
  </si>
  <si>
    <t xml:space="preserve">  Paid</t>
  </si>
  <si>
    <t>Invoice FW058</t>
  </si>
  <si>
    <t>Invoice FW059</t>
  </si>
  <si>
    <t xml:space="preserve">Mr Cruiser </t>
  </si>
  <si>
    <t>Injector Pumps*5</t>
  </si>
  <si>
    <t>Invoice FW060</t>
  </si>
  <si>
    <t>Invoice FW059 &amp; FW060</t>
  </si>
  <si>
    <t xml:space="preserve">   </t>
  </si>
  <si>
    <t>Injector Pump</t>
  </si>
  <si>
    <t>Tabatana</t>
  </si>
  <si>
    <t>Invoice TBL001</t>
  </si>
  <si>
    <t>Steering Box</t>
  </si>
  <si>
    <t>Invoice CL025</t>
  </si>
  <si>
    <t>Invoice CL026</t>
  </si>
  <si>
    <t>Maxcede</t>
  </si>
  <si>
    <t>Balance</t>
  </si>
  <si>
    <t>Invoice SS034</t>
  </si>
  <si>
    <t>Invoice GT013</t>
  </si>
  <si>
    <t>Invoice GT014</t>
  </si>
  <si>
    <t>Invoice GT014 Balance</t>
  </si>
  <si>
    <t>Invoice SS035</t>
  </si>
  <si>
    <t>Invoice SS035 Part Payment</t>
  </si>
  <si>
    <t>Invoice SS036</t>
  </si>
  <si>
    <t>Invoice SS035 Balance Payment</t>
  </si>
  <si>
    <t>Invoice SS037</t>
  </si>
  <si>
    <t>Radiator</t>
  </si>
  <si>
    <t>Radiator payment</t>
  </si>
  <si>
    <t xml:space="preserve">  </t>
  </si>
  <si>
    <t>Ecocash Payment</t>
  </si>
  <si>
    <t>Gearbox &amp; Speed Sensor</t>
  </si>
  <si>
    <t>Invoice SS038</t>
  </si>
  <si>
    <t>Mr Moyo</t>
  </si>
  <si>
    <t>Invoice NM001</t>
  </si>
  <si>
    <t>Invoice MY001</t>
  </si>
  <si>
    <t>Bal b/d</t>
  </si>
  <si>
    <t>Prime Pump &amp; Diesel</t>
  </si>
  <si>
    <t>Innbucks Payment</t>
  </si>
  <si>
    <t>Invoice SS039</t>
  </si>
  <si>
    <t>Invoice MZ002</t>
  </si>
  <si>
    <t>Spring</t>
  </si>
  <si>
    <t>Optimus</t>
  </si>
  <si>
    <t>Invoice OP002</t>
  </si>
  <si>
    <t>Invoice CL034</t>
  </si>
  <si>
    <t>Invoice CL035</t>
  </si>
  <si>
    <t>Invoice CL036</t>
  </si>
  <si>
    <t>Invoice CL037</t>
  </si>
  <si>
    <t>Invoice CL038</t>
  </si>
  <si>
    <t>Automatic Transmission Repair</t>
  </si>
  <si>
    <t>Invoice PB007</t>
  </si>
  <si>
    <t>Invoice PB008</t>
  </si>
  <si>
    <t>Invoice PB009</t>
  </si>
  <si>
    <t>Invoice PB012</t>
  </si>
  <si>
    <t>Invoice PB010</t>
  </si>
  <si>
    <t>Invoice PB011</t>
  </si>
  <si>
    <t>Invoice PB013</t>
  </si>
  <si>
    <t>Invoice PB014</t>
  </si>
  <si>
    <t>Invoice CL040</t>
  </si>
  <si>
    <t>Invoice SS041</t>
  </si>
  <si>
    <t>Invoice PB015</t>
  </si>
  <si>
    <t>Invoice PB016</t>
  </si>
  <si>
    <t>Invoice PB017</t>
  </si>
  <si>
    <t>End of year</t>
  </si>
  <si>
    <t>Invoice FW068</t>
  </si>
  <si>
    <t>Invoice PB018</t>
  </si>
  <si>
    <t>Mazinyane Mazhanje</t>
  </si>
  <si>
    <t>Invoice CL038 Part payment</t>
  </si>
  <si>
    <t>Invoice CL041</t>
  </si>
  <si>
    <t>Invoice CL042</t>
  </si>
  <si>
    <t>Invoice CL041 Cash</t>
  </si>
  <si>
    <t>Invoice CL043</t>
  </si>
  <si>
    <t>Invoice CL044</t>
  </si>
  <si>
    <t>Invoice CL045</t>
  </si>
  <si>
    <t>Mr Bhobho</t>
  </si>
  <si>
    <t xml:space="preserve">2KD Engine Part Payment </t>
  </si>
  <si>
    <t xml:space="preserve"> 2KD Engine Part Payment</t>
  </si>
  <si>
    <t>No Leak Motors</t>
  </si>
  <si>
    <t>Invoice PB019</t>
  </si>
  <si>
    <t>Invoice PB020</t>
  </si>
  <si>
    <t>Invoice PB021</t>
  </si>
  <si>
    <t>Prime Pump Refund</t>
  </si>
  <si>
    <t>P/Steering cap,O switch,Seals</t>
  </si>
  <si>
    <t>Engine Supply &amp; Fit (Beitbridge)</t>
  </si>
  <si>
    <t>Invoice NM012</t>
  </si>
  <si>
    <t>Invoice 098 Manual</t>
  </si>
  <si>
    <t>Invoice 098 Part Payment</t>
  </si>
  <si>
    <t>Invoice CL046</t>
  </si>
  <si>
    <t>Invoice NM12 Part Payment</t>
  </si>
  <si>
    <t>Outstanding Balance</t>
  </si>
  <si>
    <t>Mr Mukote</t>
  </si>
  <si>
    <t>11B Engine</t>
  </si>
  <si>
    <t>Invoice CL048</t>
  </si>
  <si>
    <t>Invoice CL049</t>
  </si>
  <si>
    <t>Castflow Valves &amp; Steels</t>
  </si>
  <si>
    <t>Invoice CVS006</t>
  </si>
  <si>
    <t>Invoice CVS007</t>
  </si>
  <si>
    <t>Invoice CVS008</t>
  </si>
  <si>
    <t>A Mazinyane</t>
  </si>
  <si>
    <t>R Mazinyane</t>
  </si>
  <si>
    <t>Aircleaner Housing</t>
  </si>
  <si>
    <t>1KD Engine Part Payment</t>
  </si>
  <si>
    <t>Engine Balance Payment</t>
  </si>
  <si>
    <t>Invoice PB022</t>
  </si>
  <si>
    <t>Invoice PB023</t>
  </si>
  <si>
    <t>Invoice LE010</t>
  </si>
  <si>
    <t>Invoice LE011</t>
  </si>
  <si>
    <t>Invoice NM013</t>
  </si>
  <si>
    <t>Mechanism &amp; Repairs</t>
  </si>
  <si>
    <t>Gearbox Automatic</t>
  </si>
  <si>
    <t>Invoice PB024</t>
  </si>
  <si>
    <t xml:space="preserve">SO5D-D Engine </t>
  </si>
  <si>
    <t>Hiace Part Payment</t>
  </si>
  <si>
    <t>Invoice PB025</t>
  </si>
  <si>
    <t>Invoice PB026</t>
  </si>
  <si>
    <t>Computer Box</t>
  </si>
  <si>
    <t>Bidding</t>
  </si>
  <si>
    <t>Headlights *2</t>
  </si>
  <si>
    <t>Part Payment for Starlet</t>
  </si>
  <si>
    <t>Carpet Panel Beater</t>
  </si>
  <si>
    <t>Invoice CL048 &amp; CL049</t>
  </si>
  <si>
    <t>Invoice CL047</t>
  </si>
  <si>
    <t>Invoice CL051</t>
  </si>
  <si>
    <t>Invoice CL052</t>
  </si>
  <si>
    <t>Invoice CL053</t>
  </si>
  <si>
    <t>Invoice NM014</t>
  </si>
  <si>
    <t>Invoice PB027</t>
  </si>
  <si>
    <t>Invoice PB028</t>
  </si>
  <si>
    <t>Invoice PB029</t>
  </si>
  <si>
    <t>Proton Invoice PB023</t>
  </si>
  <si>
    <t>Invoice CVS009</t>
  </si>
  <si>
    <t>Clutch Master &amp; Slave</t>
  </si>
  <si>
    <t>Mr Washington</t>
  </si>
  <si>
    <t>Service &amp; Terminals</t>
  </si>
  <si>
    <t>Clutch Slave</t>
  </si>
  <si>
    <t>Invoice WT004</t>
  </si>
  <si>
    <t>Gear Cables</t>
  </si>
  <si>
    <t>Invoice CL054</t>
  </si>
  <si>
    <t>Invoice WT005</t>
  </si>
  <si>
    <t>Invoice PB027,PB028 &amp; PB029</t>
  </si>
  <si>
    <t>Invoice PB030</t>
  </si>
  <si>
    <t>Proton Bakers Pvt (Ltd) Account</t>
  </si>
  <si>
    <t>Outstanding Balance (PB016)</t>
  </si>
  <si>
    <t>Quotation CL044</t>
  </si>
  <si>
    <t>Quotation CL048</t>
  </si>
  <si>
    <t>Invoice PB031</t>
  </si>
  <si>
    <t>Invoice PB032</t>
  </si>
  <si>
    <t>Mechanism</t>
  </si>
  <si>
    <t>Invoice MZ003</t>
  </si>
  <si>
    <t>Final Payment</t>
  </si>
  <si>
    <t>Invoice WT006</t>
  </si>
  <si>
    <t>Diesel</t>
  </si>
  <si>
    <t>Invoice PB033</t>
  </si>
  <si>
    <t>Invoice PB034</t>
  </si>
  <si>
    <t>Invoice CL055</t>
  </si>
  <si>
    <t>Invoice CL056</t>
  </si>
  <si>
    <t>Invoice CL058</t>
  </si>
  <si>
    <t>Invoice CL059</t>
  </si>
  <si>
    <t>CL051,CL052,CL044, CL054 &amp; CL048</t>
  </si>
  <si>
    <t>Invoice TZM001</t>
  </si>
  <si>
    <t>Mr Tauzen (0779111111)</t>
  </si>
  <si>
    <t>Invoice PB035</t>
  </si>
  <si>
    <t>Mr Katimu Account</t>
  </si>
  <si>
    <t>Invoice KT003</t>
  </si>
  <si>
    <t>Invoice LE012</t>
  </si>
  <si>
    <t>Lisheen LE012</t>
  </si>
  <si>
    <t>Invoice LE013</t>
  </si>
  <si>
    <t>Invoice LE014</t>
  </si>
  <si>
    <t>Invoice PB036</t>
  </si>
  <si>
    <t>Invoice PB037</t>
  </si>
  <si>
    <t>Bumper</t>
  </si>
  <si>
    <t>Pannel Front Valence</t>
  </si>
  <si>
    <t>Mirror Arm Cover</t>
  </si>
  <si>
    <t>Invoice CVS010</t>
  </si>
  <si>
    <t>Invoice CVS011</t>
  </si>
  <si>
    <t>Invoice CVS012</t>
  </si>
  <si>
    <t>Invoice CVS013</t>
  </si>
  <si>
    <t>Invoice CVS014</t>
  </si>
  <si>
    <t>Invoice CVS015</t>
  </si>
  <si>
    <t>Invoice PB038</t>
  </si>
  <si>
    <t>Invoice PB039</t>
  </si>
  <si>
    <t>Invoice CVS016</t>
  </si>
  <si>
    <t>Invoice CVS017</t>
  </si>
  <si>
    <t>Invoice WT007</t>
  </si>
  <si>
    <t>Part Payment Transfer</t>
  </si>
  <si>
    <t>Part Payment MZ003</t>
  </si>
  <si>
    <t>Invoice MZ004</t>
  </si>
  <si>
    <t>Bumper, Panel Front Valence</t>
  </si>
  <si>
    <t>Mazowe</t>
  </si>
  <si>
    <t>Gearbox</t>
  </si>
  <si>
    <t>Gearbox Part Payment</t>
  </si>
  <si>
    <t>Track Rod</t>
  </si>
  <si>
    <t>Invoice MX004</t>
  </si>
  <si>
    <t>JO5D Computer Box</t>
  </si>
  <si>
    <t>Hanger Bracket</t>
  </si>
  <si>
    <t>Airflow Module</t>
  </si>
  <si>
    <t>Invoice SS043</t>
  </si>
  <si>
    <t>Invoice SS044</t>
  </si>
  <si>
    <t>Balance payment</t>
  </si>
  <si>
    <t>Excess Payment</t>
  </si>
  <si>
    <t>Invoice LE015</t>
  </si>
  <si>
    <t>Invoice WT008</t>
  </si>
  <si>
    <t>Part payment</t>
  </si>
  <si>
    <t>Invoice WT009</t>
  </si>
  <si>
    <t>Invoice WT010</t>
  </si>
  <si>
    <t>Fan Blades NO4C</t>
  </si>
  <si>
    <t>Invoice WT011</t>
  </si>
  <si>
    <t>Bveke</t>
  </si>
  <si>
    <t>View Mirror</t>
  </si>
  <si>
    <t>ATF Tank</t>
  </si>
  <si>
    <t>Black window glass</t>
  </si>
  <si>
    <t>Black window weather strip</t>
  </si>
  <si>
    <t>Half moon rubber</t>
  </si>
  <si>
    <t>Invoice CVS018</t>
  </si>
  <si>
    <t>Head</t>
  </si>
  <si>
    <t xml:space="preserve">Head </t>
  </si>
  <si>
    <t>Alternator J05D</t>
  </si>
  <si>
    <t>NO4C &amp; SO5C Head Gaskets</t>
  </si>
  <si>
    <t>Invoice SS045</t>
  </si>
  <si>
    <t>Invoice SS046</t>
  </si>
  <si>
    <t>Invoice SS047</t>
  </si>
  <si>
    <t>Air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</si>
</sst>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£&quot;* #,##0.00_-;\-&quot;£&quot;* #,##0.00_-;_-&quot;£&quot;* &quot;-&quot;??_-;_-@_-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Times New Roman"/>
      <family val="1"/>
    </font>
    <font>
      <u val="singleAccounting"/>
      <sz val="10"/>
      <color theme="1"/>
      <name val="Times New Roman"/>
      <family val="1"/>
    </font>
    <font>
      <u val="doubleAccounting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 val="doubleAccounting"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u val="singleAccounting"/>
      <sz val="9"/>
      <color theme="1"/>
      <name val="Times New Roman"/>
      <family val="1"/>
    </font>
    <font>
      <u val="doubleAccounting"/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2" borderId="0" applyNumberFormat="0" applyBorder="0" applyAlignment="0" applyProtection="0"/>
  </cellStyleXfs>
  <cellXfs count="45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2" xfId="0" applyFont="1" applyBorder="1"/>
    <xf numFmtId="14" fontId="3" fillId="0" borderId="2" xfId="0" applyNumberFormat="1" applyFont="1" applyBorder="1"/>
    <xf numFmtId="165" fontId="3" fillId="0" borderId="2" xfId="0" applyNumberFormat="1" applyFont="1" applyBorder="1"/>
    <xf numFmtId="165" fontId="3" fillId="0" borderId="2" xfId="1" applyNumberFormat="1" applyFont="1" applyBorder="1"/>
    <xf numFmtId="165" fontId="3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65" fontId="4" fillId="0" borderId="2" xfId="1" applyNumberFormat="1" applyFont="1" applyBorder="1"/>
    <xf numFmtId="165" fontId="5" fillId="0" borderId="2" xfId="1" applyNumberFormat="1" applyFont="1" applyBorder="1"/>
    <xf numFmtId="165" fontId="5" fillId="0" borderId="2" xfId="0" applyNumberFormat="1" applyFont="1" applyBorder="1"/>
    <xf numFmtId="0" fontId="6" fillId="0" borderId="2" xfId="0" applyFont="1" applyBorder="1"/>
    <xf numFmtId="16" fontId="3" fillId="0" borderId="2" xfId="0" applyNumberFormat="1" applyFont="1" applyBorder="1"/>
    <xf numFmtId="165" fontId="6" fillId="0" borderId="2" xfId="1" applyNumberFormat="1" applyFont="1" applyBorder="1"/>
    <xf numFmtId="165" fontId="9" fillId="0" borderId="2" xfId="0" applyNumberFormat="1" applyFont="1" applyBorder="1"/>
    <xf numFmtId="165" fontId="9" fillId="0" borderId="2" xfId="1" applyNumberFormat="1" applyFont="1" applyBorder="1"/>
    <xf numFmtId="14" fontId="0" fillId="0" borderId="0" xfId="0" applyNumberFormat="1"/>
    <xf numFmtId="166" fontId="0" fillId="0" borderId="0" xfId="0" applyNumberFormat="1"/>
    <xf numFmtId="165" fontId="6" fillId="0" borderId="2" xfId="0" applyNumberFormat="1" applyFont="1" applyBorder="1"/>
    <xf numFmtId="0" fontId="12" fillId="0" borderId="0" xfId="0" applyFont="1"/>
    <xf numFmtId="0" fontId="10" fillId="0" borderId="2" xfId="0" applyFont="1" applyBorder="1"/>
    <xf numFmtId="165" fontId="10" fillId="0" borderId="2" xfId="0" applyNumberFormat="1" applyFont="1" applyBorder="1"/>
    <xf numFmtId="165" fontId="10" fillId="0" borderId="2" xfId="1" applyNumberFormat="1" applyFont="1" applyBorder="1"/>
    <xf numFmtId="14" fontId="10" fillId="0" borderId="2" xfId="0" applyNumberFormat="1" applyFont="1" applyBorder="1"/>
    <xf numFmtId="165" fontId="13" fillId="0" borderId="2" xfId="1" applyNumberFormat="1" applyFont="1" applyBorder="1"/>
    <xf numFmtId="165" fontId="14" fillId="0" borderId="2" xfId="0" applyNumberFormat="1" applyFont="1" applyBorder="1"/>
    <xf numFmtId="165" fontId="14" fillId="0" borderId="2" xfId="1" applyNumberFormat="1" applyFont="1" applyBorder="1"/>
    <xf numFmtId="16" fontId="10" fillId="0" borderId="2" xfId="0" applyNumberFormat="1" applyFont="1" applyBorder="1"/>
    <xf numFmtId="165" fontId="15" fillId="0" borderId="2" xfId="1" applyNumberFormat="1" applyFont="1" applyBorder="1"/>
    <xf numFmtId="0" fontId="3" fillId="0" borderId="2" xfId="0" applyFont="1" applyBorder="1" applyAlignment="1">
      <alignment horizontal="center"/>
    </xf>
    <xf numFmtId="0" fontId="2" fillId="0" borderId="1" xfId="2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1" fillId="0" borderId="1" xfId="2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2" borderId="1" xfId="3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</cellXfs>
  <cellStyles count="4">
    <cellStyle name="Accent6" xfId="3" builtinId="49"/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54"/>
  <sheetViews>
    <sheetView workbookViewId="0">
      <selection activeCell="A2" sqref="A2"/>
    </sheetView>
  </sheetViews>
  <sheetFormatPr defaultRowHeight="14.5" x14ac:dyDescent="0.35"/>
  <cols>
    <col min="1" max="1" width="9.36328125" customWidth="1"/>
    <col min="5" max="5" width="9.1796875" style="9"/>
    <col min="9" max="9" width="9.1796875" style="8"/>
  </cols>
  <sheetData>
    <row r="1" spans="1:9" ht="20" thickBot="1" x14ac:dyDescent="0.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45626</v>
      </c>
      <c r="B3" s="33"/>
      <c r="C3" s="34"/>
      <c r="D3" s="35"/>
      <c r="E3" s="5"/>
      <c r="F3" s="33" t="s">
        <v>4</v>
      </c>
      <c r="G3" s="34"/>
      <c r="H3" s="35"/>
      <c r="I3" s="6">
        <v>630</v>
      </c>
    </row>
    <row r="4" spans="1:9" x14ac:dyDescent="0.35">
      <c r="A4" s="4">
        <v>45313</v>
      </c>
      <c r="B4" s="31" t="s">
        <v>3</v>
      </c>
      <c r="C4" s="31"/>
      <c r="D4" s="31"/>
      <c r="E4" s="5">
        <v>500</v>
      </c>
      <c r="F4" s="31" t="s">
        <v>5</v>
      </c>
      <c r="G4" s="31"/>
      <c r="H4" s="31"/>
      <c r="I4" s="6">
        <v>2050</v>
      </c>
    </row>
    <row r="5" spans="1:9" x14ac:dyDescent="0.35">
      <c r="A5" s="4">
        <v>45315</v>
      </c>
      <c r="B5" s="31" t="s">
        <v>3</v>
      </c>
      <c r="C5" s="31"/>
      <c r="D5" s="31"/>
      <c r="E5" s="5">
        <v>500</v>
      </c>
      <c r="F5" s="31"/>
      <c r="G5" s="31"/>
      <c r="H5" s="31"/>
      <c r="I5" s="6"/>
    </row>
    <row r="6" spans="1:9" ht="15.5" x14ac:dyDescent="0.45">
      <c r="A6" s="4">
        <v>45331</v>
      </c>
      <c r="B6" s="31" t="s">
        <v>3</v>
      </c>
      <c r="C6" s="31"/>
      <c r="D6" s="31"/>
      <c r="E6" s="5">
        <v>500</v>
      </c>
      <c r="F6" s="31"/>
      <c r="G6" s="31"/>
      <c r="H6" s="31"/>
      <c r="I6" s="10"/>
    </row>
    <row r="7" spans="1:9" x14ac:dyDescent="0.35">
      <c r="A7" s="4">
        <v>45332</v>
      </c>
      <c r="B7" s="31" t="s">
        <v>3</v>
      </c>
      <c r="C7" s="31"/>
      <c r="D7" s="31"/>
      <c r="E7" s="5">
        <v>550</v>
      </c>
      <c r="F7" s="31"/>
      <c r="G7" s="31"/>
      <c r="H7" s="31"/>
      <c r="I7" s="6"/>
    </row>
    <row r="8" spans="1:9" x14ac:dyDescent="0.35">
      <c r="A8" s="3"/>
      <c r="B8" s="31" t="s">
        <v>29</v>
      </c>
      <c r="C8" s="31"/>
      <c r="D8" s="31"/>
      <c r="E8" s="5">
        <v>680</v>
      </c>
      <c r="F8" s="31"/>
      <c r="G8" s="31"/>
      <c r="H8" s="31"/>
      <c r="I8" s="6"/>
    </row>
    <row r="9" spans="1:9" ht="15.5" x14ac:dyDescent="0.45">
      <c r="A9" s="4">
        <v>45421</v>
      </c>
      <c r="B9" s="31"/>
      <c r="C9" s="31"/>
      <c r="D9" s="31"/>
      <c r="E9" s="12">
        <v>2680</v>
      </c>
      <c r="F9" s="31"/>
      <c r="G9" s="31"/>
      <c r="H9" s="31"/>
      <c r="I9" s="11">
        <v>2680</v>
      </c>
    </row>
    <row r="10" spans="1:9" x14ac:dyDescent="0.35">
      <c r="A10" s="3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>
        <v>45421</v>
      </c>
      <c r="B11" s="31"/>
      <c r="C11" s="31"/>
      <c r="D11" s="31"/>
      <c r="E11" s="5"/>
      <c r="F11" s="31" t="s">
        <v>4</v>
      </c>
      <c r="G11" s="31"/>
      <c r="H11" s="31"/>
      <c r="I11" s="6">
        <v>680</v>
      </c>
    </row>
    <row r="12" spans="1:9" x14ac:dyDescent="0.35">
      <c r="A12" s="14">
        <v>45421</v>
      </c>
      <c r="B12" s="31" t="s">
        <v>3</v>
      </c>
      <c r="C12" s="31"/>
      <c r="D12" s="31"/>
      <c r="E12" s="5">
        <v>100</v>
      </c>
      <c r="F12" s="31"/>
      <c r="G12" s="31"/>
      <c r="H12" s="31"/>
      <c r="I12" s="6"/>
    </row>
    <row r="13" spans="1:9" x14ac:dyDescent="0.35">
      <c r="A13" s="14">
        <v>45432</v>
      </c>
      <c r="B13" s="31" t="s">
        <v>39</v>
      </c>
      <c r="C13" s="31"/>
      <c r="D13" s="31"/>
      <c r="E13" s="5">
        <v>100</v>
      </c>
      <c r="F13" s="31"/>
      <c r="G13" s="31"/>
      <c r="H13" s="31"/>
      <c r="I13" s="6"/>
    </row>
    <row r="14" spans="1:9" x14ac:dyDescent="0.35">
      <c r="A14" s="14">
        <v>45492</v>
      </c>
      <c r="B14" s="31" t="s">
        <v>3</v>
      </c>
      <c r="C14" s="31"/>
      <c r="D14" s="31"/>
      <c r="E14" s="5">
        <v>100</v>
      </c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1"/>
      <c r="B37" s="1"/>
      <c r="C37" s="1"/>
      <c r="D37" s="1"/>
      <c r="E37" s="2"/>
      <c r="F37" s="1"/>
      <c r="G37" s="1"/>
      <c r="H37" s="1"/>
      <c r="I37" s="7"/>
    </row>
    <row r="38" spans="1:9" x14ac:dyDescent="0.35">
      <c r="A38" s="1"/>
      <c r="B38" s="1"/>
      <c r="C38" s="1"/>
      <c r="D38" s="1"/>
      <c r="E38" s="2"/>
      <c r="F38" s="1"/>
      <c r="G38" s="1"/>
      <c r="H38" s="1"/>
      <c r="I38" s="7"/>
    </row>
    <row r="39" spans="1:9" x14ac:dyDescent="0.35">
      <c r="A39" s="1"/>
      <c r="B39" s="1"/>
      <c r="C39" s="1"/>
      <c r="D39" s="1"/>
      <c r="E39" s="2"/>
      <c r="F39" s="1"/>
      <c r="G39" s="1"/>
      <c r="H39" s="1"/>
      <c r="I39" s="7"/>
    </row>
    <row r="40" spans="1:9" x14ac:dyDescent="0.35">
      <c r="A40" s="1"/>
      <c r="B40" s="1"/>
      <c r="C40" s="1"/>
      <c r="D40" s="1"/>
      <c r="E40" s="2"/>
      <c r="F40" s="1"/>
      <c r="G40" s="1"/>
      <c r="H40" s="1"/>
      <c r="I40" s="7"/>
    </row>
    <row r="41" spans="1:9" x14ac:dyDescent="0.35">
      <c r="A41" s="1"/>
      <c r="B41" s="1"/>
      <c r="C41" s="1"/>
      <c r="D41" s="1"/>
      <c r="E41" s="2"/>
      <c r="F41" s="1"/>
      <c r="G41" s="1"/>
      <c r="H41" s="1"/>
      <c r="I41" s="7"/>
    </row>
    <row r="42" spans="1:9" x14ac:dyDescent="0.35">
      <c r="A42" s="1"/>
      <c r="B42" s="1"/>
      <c r="C42" s="1"/>
      <c r="D42" s="1"/>
      <c r="E42" s="2"/>
      <c r="F42" s="1"/>
      <c r="G42" s="1"/>
      <c r="H42" s="1"/>
      <c r="I42" s="7"/>
    </row>
    <row r="43" spans="1:9" x14ac:dyDescent="0.35">
      <c r="A43" s="1"/>
      <c r="B43" s="1"/>
      <c r="C43" s="1"/>
      <c r="D43" s="1"/>
      <c r="E43" s="2"/>
      <c r="F43" s="1"/>
      <c r="G43" s="1"/>
      <c r="H43" s="1"/>
      <c r="I43" s="7"/>
    </row>
    <row r="44" spans="1:9" x14ac:dyDescent="0.35">
      <c r="A44" s="1"/>
      <c r="B44" s="1"/>
      <c r="C44" s="1"/>
      <c r="D44" s="1"/>
      <c r="E44" s="2"/>
      <c r="F44" s="1"/>
      <c r="G44" s="1"/>
      <c r="H44" s="1"/>
      <c r="I44" s="7"/>
    </row>
    <row r="45" spans="1:9" x14ac:dyDescent="0.35">
      <c r="A45" s="1"/>
      <c r="B45" s="1"/>
      <c r="C45" s="1"/>
      <c r="D45" s="1"/>
      <c r="E45" s="2"/>
      <c r="F45" s="1"/>
      <c r="G45" s="1"/>
      <c r="H45" s="1"/>
      <c r="I45" s="7"/>
    </row>
    <row r="46" spans="1:9" x14ac:dyDescent="0.35">
      <c r="A46" s="1"/>
      <c r="B46" s="1"/>
      <c r="C46" s="1"/>
      <c r="D46" s="1"/>
      <c r="E46" s="2"/>
      <c r="F46" s="1"/>
      <c r="G46" s="1"/>
      <c r="H46" s="1"/>
      <c r="I46" s="7"/>
    </row>
    <row r="47" spans="1:9" x14ac:dyDescent="0.35">
      <c r="A47" s="1"/>
      <c r="B47" s="1"/>
      <c r="C47" s="1"/>
      <c r="D47" s="1"/>
      <c r="E47" s="2"/>
      <c r="F47" s="1"/>
      <c r="G47" s="1"/>
      <c r="H47" s="1"/>
      <c r="I47" s="7"/>
    </row>
    <row r="48" spans="1:9" x14ac:dyDescent="0.35">
      <c r="A48" s="1"/>
      <c r="B48" s="1"/>
      <c r="C48" s="1"/>
      <c r="D48" s="1"/>
      <c r="E48" s="2"/>
      <c r="F48" s="1"/>
      <c r="G48" s="1"/>
      <c r="H48" s="1"/>
      <c r="I48" s="7"/>
    </row>
    <row r="49" spans="1:9" x14ac:dyDescent="0.35">
      <c r="A49" s="1"/>
      <c r="B49" s="1"/>
      <c r="C49" s="1"/>
      <c r="D49" s="1"/>
      <c r="E49" s="2"/>
      <c r="F49" s="1"/>
      <c r="G49" s="1"/>
      <c r="H49" s="1"/>
      <c r="I49" s="7"/>
    </row>
    <row r="50" spans="1:9" x14ac:dyDescent="0.35">
      <c r="A50" s="1"/>
      <c r="B50" s="1"/>
      <c r="C50" s="1"/>
      <c r="D50" s="1"/>
      <c r="E50" s="2"/>
      <c r="F50" s="1"/>
      <c r="G50" s="1"/>
      <c r="H50" s="1"/>
      <c r="I50" s="7"/>
    </row>
    <row r="51" spans="1:9" x14ac:dyDescent="0.35">
      <c r="A51" s="1"/>
      <c r="B51" s="1"/>
      <c r="C51" s="1"/>
      <c r="D51" s="1"/>
      <c r="E51" s="2"/>
      <c r="F51" s="1"/>
      <c r="G51" s="1"/>
      <c r="H51" s="1"/>
      <c r="I51" s="7"/>
    </row>
    <row r="52" spans="1:9" x14ac:dyDescent="0.35">
      <c r="A52" s="1"/>
      <c r="B52" s="1"/>
      <c r="C52" s="1"/>
      <c r="D52" s="1"/>
      <c r="E52" s="2"/>
      <c r="F52" s="1"/>
      <c r="G52" s="1"/>
      <c r="H52" s="1"/>
      <c r="I52" s="7"/>
    </row>
    <row r="53" spans="1:9" x14ac:dyDescent="0.35">
      <c r="A53" s="1"/>
      <c r="B53" s="1"/>
      <c r="C53" s="1"/>
      <c r="D53" s="1"/>
      <c r="E53" s="2"/>
      <c r="F53" s="1"/>
      <c r="G53" s="1"/>
      <c r="H53" s="1"/>
      <c r="I53" s="7"/>
    </row>
    <row r="54" spans="1:9" x14ac:dyDescent="0.35">
      <c r="A54" s="1"/>
      <c r="B54" s="1"/>
      <c r="C54" s="1"/>
      <c r="D54" s="1"/>
      <c r="E54" s="2"/>
      <c r="F54" s="1"/>
      <c r="G54" s="1"/>
      <c r="H54" s="1"/>
      <c r="I54" s="7"/>
    </row>
  </sheetData>
  <mergeCells count="71">
    <mergeCell ref="F3:H3"/>
    <mergeCell ref="F31:H31"/>
    <mergeCell ref="F32:H32"/>
    <mergeCell ref="F33:H33"/>
    <mergeCell ref="F34:H34"/>
    <mergeCell ref="F19:H19"/>
    <mergeCell ref="F20:H20"/>
    <mergeCell ref="F21:H21"/>
    <mergeCell ref="F22:H22"/>
    <mergeCell ref="F23:H23"/>
    <mergeCell ref="F24:H24"/>
    <mergeCell ref="F13:H13"/>
    <mergeCell ref="F14:H14"/>
    <mergeCell ref="F15:H15"/>
    <mergeCell ref="F16:H16"/>
    <mergeCell ref="F17:H17"/>
    <mergeCell ref="F35:H35"/>
    <mergeCell ref="F36:H36"/>
    <mergeCell ref="F25:H25"/>
    <mergeCell ref="F26:H26"/>
    <mergeCell ref="F27:H27"/>
    <mergeCell ref="F28:H28"/>
    <mergeCell ref="F29:H29"/>
    <mergeCell ref="F30:H30"/>
    <mergeCell ref="F18:H18"/>
    <mergeCell ref="F7:H7"/>
    <mergeCell ref="F8:H8"/>
    <mergeCell ref="F9:H9"/>
    <mergeCell ref="F10:H10"/>
    <mergeCell ref="F11:H11"/>
    <mergeCell ref="F12:H12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A1:I1"/>
    <mergeCell ref="B2:D2"/>
    <mergeCell ref="F2:H2"/>
    <mergeCell ref="B4:D4"/>
    <mergeCell ref="B5:D5"/>
    <mergeCell ref="B6:D6"/>
    <mergeCell ref="F4:H4"/>
    <mergeCell ref="F5:H5"/>
    <mergeCell ref="F6:H6"/>
    <mergeCell ref="B3:D3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I66"/>
  <sheetViews>
    <sheetView topLeftCell="A36" workbookViewId="0">
      <selection activeCell="I55" sqref="I55"/>
    </sheetView>
  </sheetViews>
  <sheetFormatPr defaultRowHeight="12" x14ac:dyDescent="0.3"/>
  <cols>
    <col min="1" max="4" width="8.7265625" style="21"/>
    <col min="5" max="5" width="10.1796875" style="21" customWidth="1"/>
    <col min="6" max="8" width="8.7265625" style="21"/>
    <col min="9" max="9" width="9.90625" style="21" customWidth="1"/>
    <col min="10" max="16384" width="8.7265625" style="21"/>
  </cols>
  <sheetData>
    <row r="1" spans="1:9" ht="12.5" thickBot="1" x14ac:dyDescent="0.35">
      <c r="A1" s="38" t="s">
        <v>6</v>
      </c>
      <c r="B1" s="38"/>
      <c r="C1" s="38"/>
      <c r="D1" s="38"/>
      <c r="E1" s="38"/>
      <c r="F1" s="38"/>
      <c r="G1" s="38"/>
      <c r="H1" s="38"/>
      <c r="I1" s="38"/>
    </row>
    <row r="2" spans="1:9" ht="12.5" thickTop="1" x14ac:dyDescent="0.3">
      <c r="A2" s="22" t="s">
        <v>1</v>
      </c>
      <c r="B2" s="36" t="s">
        <v>2</v>
      </c>
      <c r="C2" s="36"/>
      <c r="D2" s="36"/>
      <c r="E2" s="23"/>
      <c r="F2" s="36" t="s">
        <v>2</v>
      </c>
      <c r="G2" s="36"/>
      <c r="H2" s="36"/>
      <c r="I2" s="24"/>
    </row>
    <row r="3" spans="1:9" x14ac:dyDescent="0.3">
      <c r="A3" s="25">
        <v>45384</v>
      </c>
      <c r="B3" s="39"/>
      <c r="C3" s="40"/>
      <c r="D3" s="41"/>
      <c r="E3" s="23"/>
      <c r="F3" s="39" t="s">
        <v>4</v>
      </c>
      <c r="G3" s="40"/>
      <c r="H3" s="41"/>
      <c r="I3" s="24">
        <v>670</v>
      </c>
    </row>
    <row r="4" spans="1:9" x14ac:dyDescent="0.3">
      <c r="A4" s="25">
        <v>45391</v>
      </c>
      <c r="B4" s="36" t="s">
        <v>3</v>
      </c>
      <c r="C4" s="36"/>
      <c r="D4" s="36"/>
      <c r="E4" s="23">
        <v>670</v>
      </c>
      <c r="F4" s="36"/>
      <c r="G4" s="36"/>
      <c r="H4" s="36"/>
      <c r="I4" s="24"/>
    </row>
    <row r="5" spans="1:9" x14ac:dyDescent="0.3">
      <c r="A5" s="25">
        <v>45392</v>
      </c>
      <c r="B5" s="36"/>
      <c r="C5" s="36"/>
      <c r="D5" s="36"/>
      <c r="E5" s="23"/>
      <c r="F5" s="36" t="s">
        <v>22</v>
      </c>
      <c r="G5" s="36"/>
      <c r="H5" s="36"/>
      <c r="I5" s="24">
        <v>660</v>
      </c>
    </row>
    <row r="6" spans="1:9" ht="13" x14ac:dyDescent="0.4">
      <c r="A6" s="25">
        <v>45408</v>
      </c>
      <c r="B6" s="36" t="s">
        <v>22</v>
      </c>
      <c r="C6" s="36"/>
      <c r="D6" s="36"/>
      <c r="E6" s="23">
        <v>680</v>
      </c>
      <c r="F6" s="36" t="s">
        <v>19</v>
      </c>
      <c r="G6" s="36"/>
      <c r="H6" s="36"/>
      <c r="I6" s="26"/>
    </row>
    <row r="7" spans="1:9" x14ac:dyDescent="0.3">
      <c r="A7" s="25">
        <v>45391</v>
      </c>
      <c r="B7" s="36"/>
      <c r="C7" s="36"/>
      <c r="D7" s="36"/>
      <c r="E7" s="23"/>
      <c r="F7" s="36" t="s">
        <v>30</v>
      </c>
      <c r="G7" s="36"/>
      <c r="H7" s="36"/>
      <c r="I7" s="24">
        <v>147</v>
      </c>
    </row>
    <row r="8" spans="1:9" x14ac:dyDescent="0.3">
      <c r="A8" s="22"/>
      <c r="B8" s="36" t="s">
        <v>29</v>
      </c>
      <c r="C8" s="36"/>
      <c r="D8" s="36"/>
      <c r="E8" s="23">
        <v>127</v>
      </c>
      <c r="F8" s="36"/>
      <c r="G8" s="36"/>
      <c r="H8" s="36"/>
      <c r="I8" s="24"/>
    </row>
    <row r="9" spans="1:9" ht="13" x14ac:dyDescent="0.4">
      <c r="A9" s="22"/>
      <c r="B9" s="36"/>
      <c r="C9" s="36"/>
      <c r="D9" s="36"/>
      <c r="E9" s="27">
        <v>1477</v>
      </c>
      <c r="F9" s="36"/>
      <c r="G9" s="36"/>
      <c r="H9" s="36"/>
      <c r="I9" s="28">
        <v>1477</v>
      </c>
    </row>
    <row r="10" spans="1:9" x14ac:dyDescent="0.3">
      <c r="A10" s="22"/>
      <c r="B10" s="36"/>
      <c r="C10" s="36"/>
      <c r="D10" s="36"/>
      <c r="E10" s="23"/>
      <c r="F10" s="36"/>
      <c r="G10" s="36"/>
      <c r="H10" s="36"/>
      <c r="I10" s="24"/>
    </row>
    <row r="11" spans="1:9" x14ac:dyDescent="0.3">
      <c r="A11" s="22"/>
      <c r="B11" s="36"/>
      <c r="C11" s="36"/>
      <c r="D11" s="36"/>
      <c r="E11" s="23"/>
      <c r="F11" s="36" t="s">
        <v>4</v>
      </c>
      <c r="G11" s="36"/>
      <c r="H11" s="36"/>
      <c r="I11" s="24">
        <v>127</v>
      </c>
    </row>
    <row r="12" spans="1:9" x14ac:dyDescent="0.3">
      <c r="A12" s="25">
        <v>45429</v>
      </c>
      <c r="B12" s="36" t="s">
        <v>37</v>
      </c>
      <c r="C12" s="36"/>
      <c r="D12" s="36"/>
      <c r="E12" s="23">
        <v>125</v>
      </c>
      <c r="F12" s="36"/>
      <c r="G12" s="36"/>
      <c r="H12" s="36"/>
      <c r="I12" s="24"/>
    </row>
    <row r="13" spans="1:9" x14ac:dyDescent="0.3">
      <c r="A13" s="22"/>
      <c r="B13" s="36" t="s">
        <v>38</v>
      </c>
      <c r="C13" s="36"/>
      <c r="D13" s="36"/>
      <c r="E13" s="23">
        <v>2</v>
      </c>
      <c r="F13" s="36"/>
      <c r="G13" s="36"/>
      <c r="H13" s="36"/>
      <c r="I13" s="24"/>
    </row>
    <row r="14" spans="1:9" x14ac:dyDescent="0.3">
      <c r="A14" s="25">
        <v>45547</v>
      </c>
      <c r="B14" s="36"/>
      <c r="C14" s="36"/>
      <c r="D14" s="36"/>
      <c r="E14" s="23"/>
      <c r="F14" s="36" t="s">
        <v>55</v>
      </c>
      <c r="G14" s="36"/>
      <c r="H14" s="36"/>
      <c r="I14" s="24">
        <v>150</v>
      </c>
    </row>
    <row r="15" spans="1:9" x14ac:dyDescent="0.3">
      <c r="A15" s="29">
        <v>45553</v>
      </c>
      <c r="B15" s="36" t="s">
        <v>55</v>
      </c>
      <c r="C15" s="36"/>
      <c r="D15" s="36"/>
      <c r="E15" s="23">
        <v>150</v>
      </c>
      <c r="F15" s="36"/>
      <c r="G15" s="36"/>
      <c r="H15" s="36"/>
      <c r="I15" s="24"/>
    </row>
    <row r="16" spans="1:9" x14ac:dyDescent="0.3">
      <c r="A16" s="29"/>
      <c r="B16" s="39"/>
      <c r="C16" s="40"/>
      <c r="D16" s="41"/>
      <c r="E16" s="23"/>
      <c r="F16" s="39"/>
      <c r="G16" s="40"/>
      <c r="H16" s="41"/>
      <c r="I16" s="24"/>
    </row>
    <row r="17" spans="1:9" ht="13" x14ac:dyDescent="0.4">
      <c r="A17" s="29"/>
      <c r="B17" s="39"/>
      <c r="C17" s="40"/>
      <c r="D17" s="41"/>
      <c r="E17" s="27">
        <v>277</v>
      </c>
      <c r="F17" s="39"/>
      <c r="G17" s="40"/>
      <c r="H17" s="41"/>
      <c r="I17" s="28">
        <v>277</v>
      </c>
    </row>
    <row r="18" spans="1:9" x14ac:dyDescent="0.3">
      <c r="A18" s="29"/>
      <c r="B18" s="39"/>
      <c r="C18" s="40"/>
      <c r="D18" s="41"/>
      <c r="E18" s="23"/>
      <c r="F18" s="39"/>
      <c r="G18" s="40"/>
      <c r="H18" s="41"/>
      <c r="I18" s="24"/>
    </row>
    <row r="19" spans="1:9" x14ac:dyDescent="0.3">
      <c r="A19" s="29">
        <v>45566</v>
      </c>
      <c r="B19" s="36"/>
      <c r="C19" s="36"/>
      <c r="D19" s="36"/>
      <c r="E19" s="23"/>
      <c r="F19" s="36" t="s">
        <v>59</v>
      </c>
      <c r="G19" s="36"/>
      <c r="H19" s="36"/>
      <c r="I19" s="24">
        <v>1270</v>
      </c>
    </row>
    <row r="20" spans="1:9" x14ac:dyDescent="0.3">
      <c r="A20" s="29">
        <v>45566</v>
      </c>
      <c r="B20" s="36" t="s">
        <v>60</v>
      </c>
      <c r="C20" s="36"/>
      <c r="D20" s="36"/>
      <c r="E20" s="23">
        <v>700</v>
      </c>
      <c r="F20" s="36"/>
      <c r="G20" s="36"/>
      <c r="H20" s="36"/>
      <c r="I20" s="24"/>
    </row>
    <row r="21" spans="1:9" x14ac:dyDescent="0.3">
      <c r="A21" s="29">
        <v>45567</v>
      </c>
      <c r="B21" s="36" t="s">
        <v>61</v>
      </c>
      <c r="C21" s="36"/>
      <c r="D21" s="36"/>
      <c r="E21" s="23">
        <v>200</v>
      </c>
      <c r="F21" s="36" t="s">
        <v>61</v>
      </c>
      <c r="G21" s="36"/>
      <c r="H21" s="36"/>
      <c r="I21" s="24">
        <v>200</v>
      </c>
    </row>
    <row r="22" spans="1:9" x14ac:dyDescent="0.3">
      <c r="A22" s="29">
        <v>45568</v>
      </c>
      <c r="B22" s="36" t="s">
        <v>62</v>
      </c>
      <c r="C22" s="36"/>
      <c r="D22" s="36"/>
      <c r="E22" s="23">
        <v>600</v>
      </c>
      <c r="F22" s="36"/>
      <c r="G22" s="36"/>
      <c r="H22" s="36"/>
      <c r="I22" s="24"/>
    </row>
    <row r="23" spans="1:9" x14ac:dyDescent="0.3">
      <c r="A23" s="29">
        <v>45568</v>
      </c>
      <c r="B23" s="36"/>
      <c r="C23" s="36"/>
      <c r="D23" s="36"/>
      <c r="E23" s="23" t="s">
        <v>46</v>
      </c>
      <c r="F23" s="36" t="s">
        <v>63</v>
      </c>
      <c r="G23" s="36"/>
      <c r="H23" s="36"/>
      <c r="I23" s="24">
        <v>182</v>
      </c>
    </row>
    <row r="24" spans="1:9" x14ac:dyDescent="0.3">
      <c r="A24" s="22"/>
      <c r="B24" s="36" t="s">
        <v>29</v>
      </c>
      <c r="C24" s="36"/>
      <c r="D24" s="36"/>
      <c r="E24" s="23">
        <v>152</v>
      </c>
      <c r="F24" s="36"/>
      <c r="G24" s="36"/>
      <c r="H24" s="36"/>
      <c r="I24" s="24"/>
    </row>
    <row r="25" spans="1:9" ht="13" x14ac:dyDescent="0.4">
      <c r="A25" s="22"/>
      <c r="B25" s="36"/>
      <c r="C25" s="36"/>
      <c r="D25" s="36"/>
      <c r="E25" s="27">
        <v>1652</v>
      </c>
      <c r="F25" s="36"/>
      <c r="G25" s="36"/>
      <c r="H25" s="36"/>
      <c r="I25" s="28">
        <f>SUM(I19:I23)</f>
        <v>1652</v>
      </c>
    </row>
    <row r="26" spans="1:9" x14ac:dyDescent="0.3">
      <c r="A26" s="22"/>
      <c r="B26" s="36" t="s">
        <v>46</v>
      </c>
      <c r="C26" s="36"/>
      <c r="D26" s="36"/>
      <c r="E26" s="23"/>
      <c r="F26" s="36"/>
      <c r="G26" s="36"/>
      <c r="H26" s="36"/>
      <c r="I26" s="24"/>
    </row>
    <row r="27" spans="1:9" x14ac:dyDescent="0.3">
      <c r="A27" s="22"/>
      <c r="B27" s="36"/>
      <c r="C27" s="36"/>
      <c r="D27" s="36"/>
      <c r="E27" s="23"/>
      <c r="F27" s="36" t="s">
        <v>4</v>
      </c>
      <c r="G27" s="36"/>
      <c r="H27" s="36"/>
      <c r="I27" s="24">
        <v>152</v>
      </c>
    </row>
    <row r="28" spans="1:9" x14ac:dyDescent="0.3">
      <c r="A28" s="29">
        <v>45576</v>
      </c>
      <c r="B28" s="36" t="s">
        <v>21</v>
      </c>
      <c r="C28" s="36"/>
      <c r="D28" s="36"/>
      <c r="E28" s="23">
        <v>152</v>
      </c>
      <c r="F28" s="36"/>
      <c r="G28" s="36"/>
      <c r="H28" s="36"/>
      <c r="I28" s="24"/>
    </row>
    <row r="29" spans="1:9" x14ac:dyDescent="0.3">
      <c r="A29" s="29">
        <v>45582</v>
      </c>
      <c r="B29" s="36"/>
      <c r="C29" s="36"/>
      <c r="D29" s="36"/>
      <c r="E29" s="23"/>
      <c r="F29" s="36" t="s">
        <v>69</v>
      </c>
      <c r="G29" s="36"/>
      <c r="H29" s="36"/>
      <c r="I29" s="24">
        <v>180</v>
      </c>
    </row>
    <row r="30" spans="1:9" x14ac:dyDescent="0.3">
      <c r="A30" s="29">
        <v>45590</v>
      </c>
      <c r="B30" s="36" t="s">
        <v>69</v>
      </c>
      <c r="C30" s="36"/>
      <c r="D30" s="36"/>
      <c r="E30" s="23">
        <v>180</v>
      </c>
      <c r="F30" s="36"/>
      <c r="G30" s="36"/>
      <c r="H30" s="36"/>
      <c r="I30" s="24"/>
    </row>
    <row r="31" spans="1:9" x14ac:dyDescent="0.3">
      <c r="A31" s="29">
        <v>45611</v>
      </c>
      <c r="B31" s="36"/>
      <c r="C31" s="36"/>
      <c r="D31" s="36"/>
      <c r="E31" s="23"/>
      <c r="F31" s="36" t="s">
        <v>76</v>
      </c>
      <c r="G31" s="36"/>
      <c r="H31" s="36"/>
      <c r="I31" s="24">
        <v>590</v>
      </c>
    </row>
    <row r="32" spans="1:9" x14ac:dyDescent="0.3">
      <c r="A32" s="29">
        <v>45615</v>
      </c>
      <c r="B32" s="36" t="s">
        <v>76</v>
      </c>
      <c r="C32" s="36"/>
      <c r="D32" s="36"/>
      <c r="E32" s="23">
        <v>590</v>
      </c>
      <c r="F32" s="36"/>
      <c r="G32" s="36"/>
      <c r="H32" s="36"/>
      <c r="I32" s="24"/>
    </row>
    <row r="33" spans="1:9" x14ac:dyDescent="0.3">
      <c r="A33" s="22"/>
      <c r="B33" s="36"/>
      <c r="C33" s="36"/>
      <c r="D33" s="36"/>
      <c r="E33" s="23"/>
      <c r="F33" s="36"/>
      <c r="G33" s="36"/>
      <c r="H33" s="36"/>
      <c r="I33" s="24"/>
    </row>
    <row r="34" spans="1:9" x14ac:dyDescent="0.3">
      <c r="A34" s="25">
        <v>45659</v>
      </c>
      <c r="B34" s="36"/>
      <c r="C34" s="36"/>
      <c r="D34" s="36"/>
      <c r="E34" s="23"/>
      <c r="F34" s="36" t="s">
        <v>96</v>
      </c>
      <c r="G34" s="36"/>
      <c r="H34" s="36"/>
      <c r="I34" s="24">
        <v>80</v>
      </c>
    </row>
    <row r="35" spans="1:9" x14ac:dyDescent="0.3">
      <c r="A35" s="25">
        <v>45674</v>
      </c>
      <c r="B35" s="36" t="s">
        <v>96</v>
      </c>
      <c r="C35" s="36"/>
      <c r="D35" s="36"/>
      <c r="E35" s="23">
        <v>80</v>
      </c>
      <c r="F35" s="36"/>
      <c r="G35" s="36"/>
      <c r="H35" s="36"/>
      <c r="I35" s="24"/>
    </row>
    <row r="36" spans="1:9" x14ac:dyDescent="0.3">
      <c r="A36" s="22"/>
      <c r="B36" s="36"/>
      <c r="C36" s="36"/>
      <c r="D36" s="36"/>
      <c r="E36" s="23"/>
      <c r="F36" s="36"/>
      <c r="G36" s="36"/>
      <c r="H36" s="36"/>
      <c r="I36" s="24"/>
    </row>
    <row r="37" spans="1:9" x14ac:dyDescent="0.3">
      <c r="A37" s="25">
        <v>45798</v>
      </c>
      <c r="B37" s="36"/>
      <c r="C37" s="36"/>
      <c r="D37" s="36"/>
      <c r="E37" s="23"/>
      <c r="F37" s="36" t="s">
        <v>233</v>
      </c>
      <c r="G37" s="36"/>
      <c r="H37" s="36"/>
      <c r="I37" s="24">
        <v>1152</v>
      </c>
    </row>
    <row r="38" spans="1:9" x14ac:dyDescent="0.3">
      <c r="A38" s="25">
        <v>45819</v>
      </c>
      <c r="B38" s="36"/>
      <c r="C38" s="36"/>
      <c r="D38" s="36"/>
      <c r="E38" s="23"/>
      <c r="F38" s="36" t="s">
        <v>234</v>
      </c>
      <c r="G38" s="36"/>
      <c r="H38" s="36"/>
      <c r="I38" s="24">
        <v>150</v>
      </c>
    </row>
    <row r="39" spans="1:9" x14ac:dyDescent="0.3">
      <c r="A39" s="25">
        <v>45825</v>
      </c>
      <c r="B39" s="36" t="s">
        <v>24</v>
      </c>
      <c r="C39" s="36"/>
      <c r="D39" s="36"/>
      <c r="E39" s="23">
        <v>700</v>
      </c>
      <c r="F39" s="36"/>
      <c r="G39" s="36"/>
      <c r="H39" s="36"/>
      <c r="I39" s="24"/>
    </row>
    <row r="40" spans="1:9" x14ac:dyDescent="0.3">
      <c r="A40" s="22"/>
      <c r="B40" s="36" t="s">
        <v>29</v>
      </c>
      <c r="C40" s="36"/>
      <c r="D40" s="36"/>
      <c r="E40" s="23">
        <f>E41-E39</f>
        <v>602</v>
      </c>
      <c r="F40" s="36"/>
      <c r="G40" s="36"/>
      <c r="H40" s="36"/>
      <c r="I40" s="24"/>
    </row>
    <row r="41" spans="1:9" ht="13" x14ac:dyDescent="0.4">
      <c r="A41" s="22"/>
      <c r="B41" s="36"/>
      <c r="C41" s="36"/>
      <c r="D41" s="36"/>
      <c r="E41" s="27">
        <f>I41</f>
        <v>1302</v>
      </c>
      <c r="F41" s="36"/>
      <c r="G41" s="36"/>
      <c r="H41" s="36"/>
      <c r="I41" s="28">
        <f>SUM(I37:I38)</f>
        <v>1302</v>
      </c>
    </row>
    <row r="42" spans="1:9" x14ac:dyDescent="0.3">
      <c r="A42" s="22"/>
      <c r="B42" s="36"/>
      <c r="C42" s="36"/>
      <c r="D42" s="36"/>
      <c r="E42" s="23"/>
      <c r="F42" s="36"/>
      <c r="G42" s="36"/>
      <c r="H42" s="36"/>
      <c r="I42" s="24"/>
    </row>
    <row r="43" spans="1:9" x14ac:dyDescent="0.3">
      <c r="A43" s="22"/>
      <c r="B43" s="36"/>
      <c r="C43" s="36"/>
      <c r="D43" s="36"/>
      <c r="E43" s="23"/>
      <c r="F43" s="37" t="s">
        <v>4</v>
      </c>
      <c r="G43" s="37"/>
      <c r="H43" s="37"/>
      <c r="I43" s="30">
        <f>E40</f>
        <v>602</v>
      </c>
    </row>
    <row r="44" spans="1:9" x14ac:dyDescent="0.3">
      <c r="A44" s="25">
        <v>45835</v>
      </c>
      <c r="B44" s="36" t="s">
        <v>21</v>
      </c>
      <c r="C44" s="36"/>
      <c r="D44" s="36"/>
      <c r="E44" s="23">
        <v>600</v>
      </c>
      <c r="F44" s="36"/>
      <c r="G44" s="36"/>
      <c r="H44" s="36"/>
      <c r="I44" s="24"/>
    </row>
    <row r="45" spans="1:9" x14ac:dyDescent="0.3">
      <c r="A45" s="22"/>
      <c r="B45" s="36"/>
      <c r="C45" s="36"/>
      <c r="D45" s="36"/>
      <c r="E45" s="23"/>
      <c r="F45" s="36"/>
      <c r="G45" s="36"/>
      <c r="H45" s="36"/>
      <c r="I45" s="24"/>
    </row>
    <row r="46" spans="1:9" x14ac:dyDescent="0.3">
      <c r="A46" s="25">
        <v>45902</v>
      </c>
      <c r="B46" s="36"/>
      <c r="C46" s="36"/>
      <c r="D46" s="36"/>
      <c r="E46" s="23"/>
      <c r="F46" s="36" t="s">
        <v>255</v>
      </c>
      <c r="G46" s="36"/>
      <c r="H46" s="36"/>
      <c r="I46" s="24">
        <v>200</v>
      </c>
    </row>
    <row r="47" spans="1:9" x14ac:dyDescent="0.3">
      <c r="A47" s="25">
        <v>45905</v>
      </c>
      <c r="B47" s="36"/>
      <c r="C47" s="36"/>
      <c r="D47" s="36"/>
      <c r="E47" s="23"/>
      <c r="F47" s="36" t="s">
        <v>256</v>
      </c>
      <c r="G47" s="36"/>
      <c r="H47" s="36"/>
      <c r="I47" s="24">
        <v>200</v>
      </c>
    </row>
    <row r="48" spans="1:9" x14ac:dyDescent="0.3">
      <c r="A48" s="25">
        <v>45906</v>
      </c>
      <c r="B48" s="36"/>
      <c r="C48" s="36"/>
      <c r="D48" s="36"/>
      <c r="E48" s="23"/>
      <c r="F48" s="36" t="s">
        <v>257</v>
      </c>
      <c r="G48" s="36"/>
      <c r="H48" s="36"/>
      <c r="I48" s="24">
        <v>915</v>
      </c>
    </row>
    <row r="49" spans="1:9" x14ac:dyDescent="0.3">
      <c r="A49" s="25">
        <v>45909</v>
      </c>
      <c r="B49" s="36" t="s">
        <v>258</v>
      </c>
      <c r="C49" s="36"/>
      <c r="D49" s="36"/>
      <c r="E49" s="23">
        <v>30</v>
      </c>
      <c r="F49" s="36"/>
      <c r="G49" s="36"/>
      <c r="H49" s="36"/>
      <c r="I49" s="24"/>
    </row>
    <row r="50" spans="1:9" x14ac:dyDescent="0.3">
      <c r="A50" s="25">
        <v>45909</v>
      </c>
      <c r="B50" s="36" t="s">
        <v>29</v>
      </c>
      <c r="C50" s="36"/>
      <c r="D50" s="36"/>
      <c r="E50" s="23">
        <f>E51-E49</f>
        <v>1285</v>
      </c>
      <c r="F50" s="36"/>
      <c r="G50" s="36"/>
      <c r="H50" s="36"/>
      <c r="I50" s="24"/>
    </row>
    <row r="51" spans="1:9" ht="13" x14ac:dyDescent="0.4">
      <c r="A51" s="22"/>
      <c r="B51" s="36"/>
      <c r="C51" s="36"/>
      <c r="D51" s="36"/>
      <c r="E51" s="27">
        <v>1315</v>
      </c>
      <c r="F51" s="36"/>
      <c r="G51" s="36"/>
      <c r="H51" s="36"/>
      <c r="I51" s="28">
        <f>SUM(I46:I48)</f>
        <v>1315</v>
      </c>
    </row>
    <row r="52" spans="1:9" x14ac:dyDescent="0.3">
      <c r="A52" s="22"/>
      <c r="B52" s="36"/>
      <c r="C52" s="36"/>
      <c r="D52" s="36"/>
      <c r="E52" s="23"/>
      <c r="F52" s="36"/>
      <c r="G52" s="36"/>
      <c r="H52" s="36"/>
      <c r="I52" s="24"/>
    </row>
    <row r="53" spans="1:9" x14ac:dyDescent="0.3">
      <c r="A53" s="22"/>
      <c r="B53" s="36"/>
      <c r="C53" s="36"/>
      <c r="D53" s="36"/>
      <c r="E53" s="23"/>
      <c r="F53" s="36" t="s">
        <v>126</v>
      </c>
      <c r="G53" s="36"/>
      <c r="H53" s="36"/>
      <c r="I53" s="24">
        <f>E50</f>
        <v>1285</v>
      </c>
    </row>
    <row r="54" spans="1:9" x14ac:dyDescent="0.3">
      <c r="A54" s="22"/>
      <c r="B54" s="36"/>
      <c r="C54" s="36"/>
      <c r="D54" s="36"/>
      <c r="E54" s="23"/>
      <c r="F54" s="36"/>
      <c r="G54" s="36"/>
      <c r="H54" s="36"/>
      <c r="I54" s="24"/>
    </row>
    <row r="55" spans="1:9" x14ac:dyDescent="0.3">
      <c r="A55" s="22"/>
      <c r="B55" s="36"/>
      <c r="C55" s="36"/>
      <c r="D55" s="36"/>
      <c r="E55" s="23"/>
      <c r="F55" s="36"/>
      <c r="G55" s="36"/>
      <c r="H55" s="36"/>
      <c r="I55" s="24"/>
    </row>
    <row r="56" spans="1:9" x14ac:dyDescent="0.3">
      <c r="A56" s="22"/>
      <c r="B56" s="36"/>
      <c r="C56" s="36"/>
      <c r="D56" s="36"/>
      <c r="E56" s="23"/>
      <c r="F56" s="36"/>
      <c r="G56" s="36"/>
      <c r="H56" s="36"/>
      <c r="I56" s="24"/>
    </row>
    <row r="57" spans="1:9" x14ac:dyDescent="0.3">
      <c r="A57" s="22"/>
      <c r="B57" s="36"/>
      <c r="C57" s="36"/>
      <c r="D57" s="36"/>
      <c r="E57" s="23"/>
      <c r="F57" s="36"/>
      <c r="G57" s="36"/>
      <c r="H57" s="36"/>
      <c r="I57" s="24"/>
    </row>
    <row r="58" spans="1:9" x14ac:dyDescent="0.3">
      <c r="A58" s="22"/>
      <c r="B58" s="36"/>
      <c r="C58" s="36"/>
      <c r="D58" s="36"/>
      <c r="E58" s="23"/>
      <c r="F58" s="36"/>
      <c r="G58" s="36"/>
      <c r="H58" s="36"/>
      <c r="I58" s="24"/>
    </row>
    <row r="59" spans="1:9" x14ac:dyDescent="0.3">
      <c r="A59" s="22"/>
      <c r="B59" s="36"/>
      <c r="C59" s="36"/>
      <c r="D59" s="36"/>
      <c r="E59" s="23"/>
      <c r="F59" s="36"/>
      <c r="G59" s="36"/>
      <c r="H59" s="36"/>
      <c r="I59" s="24"/>
    </row>
    <row r="60" spans="1:9" x14ac:dyDescent="0.3">
      <c r="A60" s="22"/>
      <c r="B60" s="36"/>
      <c r="C60" s="36"/>
      <c r="D60" s="36"/>
      <c r="E60" s="23"/>
      <c r="F60" s="36"/>
      <c r="G60" s="36"/>
      <c r="H60" s="36"/>
      <c r="I60" s="24"/>
    </row>
    <row r="61" spans="1:9" x14ac:dyDescent="0.3">
      <c r="A61" s="22"/>
      <c r="B61" s="36"/>
      <c r="C61" s="36"/>
      <c r="D61" s="36"/>
      <c r="E61" s="23"/>
      <c r="F61" s="36"/>
      <c r="G61" s="36"/>
      <c r="H61" s="36"/>
      <c r="I61" s="24"/>
    </row>
    <row r="62" spans="1:9" x14ac:dyDescent="0.3">
      <c r="A62" s="22"/>
      <c r="B62" s="36"/>
      <c r="C62" s="36"/>
      <c r="D62" s="36"/>
      <c r="E62" s="23"/>
      <c r="F62" s="36"/>
      <c r="G62" s="36"/>
      <c r="H62" s="36"/>
      <c r="I62" s="24"/>
    </row>
    <row r="63" spans="1:9" x14ac:dyDescent="0.3">
      <c r="A63" s="22"/>
      <c r="B63" s="36"/>
      <c r="C63" s="36"/>
      <c r="D63" s="36"/>
      <c r="E63" s="23"/>
      <c r="F63" s="36"/>
      <c r="G63" s="36"/>
      <c r="H63" s="36"/>
      <c r="I63" s="24"/>
    </row>
    <row r="64" spans="1:9" x14ac:dyDescent="0.3">
      <c r="A64" s="22"/>
      <c r="B64" s="36"/>
      <c r="C64" s="36"/>
      <c r="D64" s="36"/>
      <c r="E64" s="23"/>
      <c r="F64" s="36"/>
      <c r="G64" s="36"/>
      <c r="H64" s="36"/>
      <c r="I64" s="24"/>
    </row>
    <row r="65" spans="1:9" x14ac:dyDescent="0.3">
      <c r="A65" s="22"/>
      <c r="B65" s="36"/>
      <c r="C65" s="36"/>
      <c r="D65" s="36"/>
      <c r="E65" s="23"/>
      <c r="F65" s="36"/>
      <c r="G65" s="36"/>
      <c r="H65" s="36"/>
      <c r="I65" s="24"/>
    </row>
    <row r="66" spans="1:9" x14ac:dyDescent="0.3">
      <c r="A66" s="22"/>
      <c r="B66" s="36"/>
      <c r="C66" s="36"/>
      <c r="D66" s="36"/>
      <c r="E66" s="23"/>
      <c r="F66" s="36"/>
      <c r="G66" s="36"/>
      <c r="H66" s="36"/>
      <c r="I66" s="24"/>
    </row>
  </sheetData>
  <mergeCells count="131">
    <mergeCell ref="B38:D38"/>
    <mergeCell ref="F38:H38"/>
    <mergeCell ref="B39:D39"/>
    <mergeCell ref="F39:H39"/>
    <mergeCell ref="B35:D35"/>
    <mergeCell ref="F35:H35"/>
    <mergeCell ref="B36:D36"/>
    <mergeCell ref="F36:H36"/>
    <mergeCell ref="B37:D37"/>
    <mergeCell ref="F37:H37"/>
    <mergeCell ref="B30:D30"/>
    <mergeCell ref="F30:H30"/>
    <mergeCell ref="B31:D31"/>
    <mergeCell ref="F31:H31"/>
    <mergeCell ref="B32:D32"/>
    <mergeCell ref="F32:H32"/>
    <mergeCell ref="B33:D33"/>
    <mergeCell ref="F33:H33"/>
    <mergeCell ref="B34:D34"/>
    <mergeCell ref="F34:H3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15:D15"/>
    <mergeCell ref="F15:H15"/>
    <mergeCell ref="B19:D19"/>
    <mergeCell ref="F19:H19"/>
    <mergeCell ref="B16:D16"/>
    <mergeCell ref="B17:D17"/>
    <mergeCell ref="B18:D18"/>
    <mergeCell ref="F16:H16"/>
    <mergeCell ref="F17:H17"/>
    <mergeCell ref="F18:H18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40:D40"/>
    <mergeCell ref="F40:H40"/>
    <mergeCell ref="B41:D41"/>
    <mergeCell ref="F41:H41"/>
    <mergeCell ref="B42:D42"/>
    <mergeCell ref="F42:H42"/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B46:D46"/>
    <mergeCell ref="F46:H46"/>
    <mergeCell ref="B47:D47"/>
    <mergeCell ref="F47:H47"/>
    <mergeCell ref="B48:D48"/>
    <mergeCell ref="F48:H48"/>
    <mergeCell ref="B43:D43"/>
    <mergeCell ref="F43:H43"/>
    <mergeCell ref="B44:D44"/>
    <mergeCell ref="F44:H44"/>
    <mergeCell ref="B45:D45"/>
    <mergeCell ref="F45:H45"/>
    <mergeCell ref="B53:D53"/>
    <mergeCell ref="F53:H53"/>
    <mergeCell ref="B54:D54"/>
    <mergeCell ref="F54:H54"/>
    <mergeCell ref="B55:D55"/>
    <mergeCell ref="F55:H55"/>
    <mergeCell ref="B49:D49"/>
    <mergeCell ref="F49:H49"/>
    <mergeCell ref="B51:D51"/>
    <mergeCell ref="F51:H51"/>
    <mergeCell ref="B52:D52"/>
    <mergeCell ref="F52:H52"/>
    <mergeCell ref="B50:D50"/>
    <mergeCell ref="F50:H50"/>
    <mergeCell ref="B59:D59"/>
    <mergeCell ref="F59:H59"/>
    <mergeCell ref="B60:D60"/>
    <mergeCell ref="F60:H60"/>
    <mergeCell ref="B61:D61"/>
    <mergeCell ref="F61:H61"/>
    <mergeCell ref="B56:D56"/>
    <mergeCell ref="F56:H56"/>
    <mergeCell ref="B57:D57"/>
    <mergeCell ref="F57:H57"/>
    <mergeCell ref="B58:D58"/>
    <mergeCell ref="F58:H58"/>
    <mergeCell ref="B65:D65"/>
    <mergeCell ref="F65:H65"/>
    <mergeCell ref="B66:D66"/>
    <mergeCell ref="F66:H66"/>
    <mergeCell ref="B62:D62"/>
    <mergeCell ref="F62:H62"/>
    <mergeCell ref="B63:D63"/>
    <mergeCell ref="F63:H63"/>
    <mergeCell ref="B64:D64"/>
    <mergeCell ref="F64:H6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3" workbookViewId="0">
      <selection activeCell="F25" sqref="F25:H25"/>
    </sheetView>
  </sheetViews>
  <sheetFormatPr defaultRowHeight="14.5" x14ac:dyDescent="0.35"/>
  <cols>
    <col min="1" max="1" width="9.453125" customWidth="1"/>
    <col min="5" max="5" width="9.7265625" customWidth="1"/>
    <col min="9" max="9" width="9.6328125" customWidth="1"/>
  </cols>
  <sheetData>
    <row r="1" spans="1:9" ht="20" thickBot="1" x14ac:dyDescent="0.5">
      <c r="A1" s="32" t="s">
        <v>70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19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45400</v>
      </c>
      <c r="B3" s="33"/>
      <c r="C3" s="34"/>
      <c r="D3" s="35"/>
      <c r="E3" s="5"/>
      <c r="F3" s="33" t="s">
        <v>71</v>
      </c>
      <c r="G3" s="34"/>
      <c r="H3" s="35"/>
      <c r="I3" s="6">
        <v>2500</v>
      </c>
    </row>
    <row r="4" spans="1:9" x14ac:dyDescent="0.35">
      <c r="A4" s="4">
        <v>45527</v>
      </c>
      <c r="B4" s="31" t="s">
        <v>71</v>
      </c>
      <c r="C4" s="31"/>
      <c r="D4" s="31"/>
      <c r="E4" s="5">
        <v>2500</v>
      </c>
      <c r="F4" s="31"/>
      <c r="G4" s="31"/>
      <c r="H4" s="31"/>
      <c r="I4" s="6"/>
    </row>
    <row r="5" spans="1:9" x14ac:dyDescent="0.35">
      <c r="A5" s="4">
        <v>45560</v>
      </c>
      <c r="B5" s="31"/>
      <c r="C5" s="31"/>
      <c r="D5" s="31"/>
      <c r="E5" s="5"/>
      <c r="F5" s="31" t="s">
        <v>72</v>
      </c>
      <c r="G5" s="31"/>
      <c r="H5" s="31"/>
      <c r="I5" s="6">
        <v>3210</v>
      </c>
    </row>
    <row r="6" spans="1:9" ht="15.5" x14ac:dyDescent="0.45">
      <c r="A6" s="4">
        <v>45591</v>
      </c>
      <c r="B6" s="31" t="s">
        <v>72</v>
      </c>
      <c r="C6" s="31"/>
      <c r="D6" s="31"/>
      <c r="E6" s="5">
        <v>900</v>
      </c>
      <c r="F6" s="31"/>
      <c r="G6" s="31"/>
      <c r="H6" s="31"/>
      <c r="I6" s="11"/>
    </row>
    <row r="7" spans="1:9" x14ac:dyDescent="0.35">
      <c r="A7" s="4"/>
      <c r="B7" s="31" t="s">
        <v>29</v>
      </c>
      <c r="C7" s="31"/>
      <c r="D7" s="31"/>
      <c r="E7" s="5">
        <f>E8-SUM(E4:E6)</f>
        <v>2310</v>
      </c>
      <c r="F7" s="31"/>
      <c r="G7" s="31"/>
      <c r="H7" s="31"/>
      <c r="I7" s="6"/>
    </row>
    <row r="8" spans="1:9" ht="15.5" x14ac:dyDescent="0.45">
      <c r="A8" s="4"/>
      <c r="B8" s="31"/>
      <c r="C8" s="31"/>
      <c r="D8" s="31"/>
      <c r="E8" s="12">
        <v>5710</v>
      </c>
      <c r="F8" s="31"/>
      <c r="G8" s="31"/>
      <c r="H8" s="31"/>
      <c r="I8" s="11">
        <f>I3+I5</f>
        <v>5710</v>
      </c>
    </row>
    <row r="9" spans="1:9" x14ac:dyDescent="0.35">
      <c r="A9" s="4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>
        <v>45597</v>
      </c>
      <c r="B10" s="31"/>
      <c r="C10" s="31"/>
      <c r="D10" s="31"/>
      <c r="E10" s="5"/>
      <c r="F10" s="31" t="s">
        <v>73</v>
      </c>
      <c r="G10" s="31"/>
      <c r="H10" s="31"/>
      <c r="I10" s="6">
        <v>2310</v>
      </c>
    </row>
    <row r="11" spans="1:9" x14ac:dyDescent="0.35">
      <c r="A11" s="4">
        <v>45601</v>
      </c>
      <c r="B11" s="31" t="s">
        <v>24</v>
      </c>
      <c r="C11" s="31"/>
      <c r="D11" s="31"/>
      <c r="E11" s="5">
        <v>1000</v>
      </c>
      <c r="F11" s="31"/>
      <c r="G11" s="31"/>
      <c r="H11" s="31"/>
      <c r="I11" s="6"/>
    </row>
    <row r="12" spans="1:9" x14ac:dyDescent="0.35">
      <c r="A12" s="3"/>
      <c r="B12" s="31" t="s">
        <v>74</v>
      </c>
      <c r="C12" s="31"/>
      <c r="D12" s="31"/>
      <c r="E12" s="5">
        <v>150</v>
      </c>
      <c r="F12" s="31"/>
      <c r="G12" s="31"/>
      <c r="H12" s="31"/>
      <c r="I12" s="6"/>
    </row>
    <row r="13" spans="1:9" x14ac:dyDescent="0.35">
      <c r="A13" s="14">
        <v>45640</v>
      </c>
      <c r="B13" s="31"/>
      <c r="C13" s="31"/>
      <c r="D13" s="31"/>
      <c r="E13" s="5"/>
      <c r="F13" s="31" t="s">
        <v>86</v>
      </c>
      <c r="G13" s="31"/>
      <c r="H13" s="31"/>
      <c r="I13" s="6">
        <v>150</v>
      </c>
    </row>
    <row r="14" spans="1:9" x14ac:dyDescent="0.35">
      <c r="A14" s="4">
        <v>45664</v>
      </c>
      <c r="B14" s="31" t="s">
        <v>29</v>
      </c>
      <c r="C14" s="31"/>
      <c r="D14" s="31"/>
      <c r="E14" s="5">
        <v>1310</v>
      </c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6">
        <v>2460</v>
      </c>
      <c r="F15" s="31"/>
      <c r="G15" s="31"/>
      <c r="H15" s="31"/>
      <c r="I15" s="17">
        <f>SUM(I10:I13)</f>
        <v>2460</v>
      </c>
    </row>
    <row r="16" spans="1:9" x14ac:dyDescent="0.35">
      <c r="A16" s="4">
        <v>45664</v>
      </c>
      <c r="B16" s="31"/>
      <c r="C16" s="31"/>
      <c r="D16" s="31"/>
      <c r="E16" s="5"/>
      <c r="F16" s="31" t="s">
        <v>4</v>
      </c>
      <c r="G16" s="31"/>
      <c r="H16" s="31"/>
      <c r="I16" s="15">
        <v>1310</v>
      </c>
    </row>
    <row r="17" spans="1:9" x14ac:dyDescent="0.35">
      <c r="A17" s="4">
        <v>45674</v>
      </c>
      <c r="B17" s="31" t="s">
        <v>21</v>
      </c>
      <c r="C17" s="31"/>
      <c r="D17" s="31"/>
      <c r="E17" s="5">
        <v>1000</v>
      </c>
      <c r="F17" s="31"/>
      <c r="G17" s="31"/>
      <c r="H17" s="31"/>
      <c r="I17" s="6"/>
    </row>
    <row r="18" spans="1:9" x14ac:dyDescent="0.35">
      <c r="A18" s="4">
        <v>45687</v>
      </c>
      <c r="B18" s="31" t="s">
        <v>118</v>
      </c>
      <c r="C18" s="31"/>
      <c r="D18" s="31"/>
      <c r="E18" s="5">
        <v>150</v>
      </c>
      <c r="F18" s="31"/>
      <c r="G18" s="31"/>
      <c r="H18" s="31"/>
      <c r="I18" s="6"/>
    </row>
    <row r="19" spans="1:9" x14ac:dyDescent="0.35">
      <c r="A19" s="4">
        <v>45687</v>
      </c>
      <c r="B19" s="31"/>
      <c r="C19" s="31"/>
      <c r="D19" s="31"/>
      <c r="E19" s="5"/>
      <c r="F19" s="31" t="s">
        <v>119</v>
      </c>
      <c r="G19" s="31"/>
      <c r="H19" s="31"/>
      <c r="I19" s="6">
        <v>110</v>
      </c>
    </row>
    <row r="20" spans="1:9" x14ac:dyDescent="0.35">
      <c r="A20" s="4">
        <v>45687</v>
      </c>
      <c r="B20" s="31" t="s">
        <v>26</v>
      </c>
      <c r="C20" s="31"/>
      <c r="D20" s="31"/>
      <c r="E20" s="5">
        <v>200</v>
      </c>
      <c r="F20" s="31"/>
      <c r="G20" s="31"/>
      <c r="H20" s="31"/>
      <c r="I20" s="6"/>
    </row>
    <row r="21" spans="1:9" x14ac:dyDescent="0.35">
      <c r="A21" s="4">
        <v>45687</v>
      </c>
      <c r="B21" s="31" t="s">
        <v>29</v>
      </c>
      <c r="C21" s="31"/>
      <c r="D21" s="31"/>
      <c r="E21" s="5">
        <v>70</v>
      </c>
      <c r="F21" s="31"/>
      <c r="G21" s="31"/>
      <c r="H21" s="31"/>
      <c r="I21" s="6"/>
    </row>
    <row r="22" spans="1:9" ht="15.5" x14ac:dyDescent="0.45">
      <c r="A22" s="3"/>
      <c r="B22" s="31"/>
      <c r="C22" s="31"/>
      <c r="D22" s="31"/>
      <c r="E22" s="16">
        <v>1420</v>
      </c>
      <c r="F22" s="31"/>
      <c r="G22" s="31"/>
      <c r="H22" s="31"/>
      <c r="I22" s="17">
        <f>SUM(I16:I19)</f>
        <v>1420</v>
      </c>
    </row>
    <row r="23" spans="1:9" x14ac:dyDescent="0.35">
      <c r="A23" s="4">
        <v>45688</v>
      </c>
      <c r="B23" s="31"/>
      <c r="C23" s="31"/>
      <c r="D23" s="31"/>
      <c r="E23" s="5"/>
      <c r="F23" s="42" t="s">
        <v>4</v>
      </c>
      <c r="G23" s="42"/>
      <c r="H23" s="42"/>
      <c r="I23" s="15">
        <v>70</v>
      </c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15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 t="s">
        <v>19</v>
      </c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36"/>
  <sheetViews>
    <sheetView topLeftCell="A6" workbookViewId="0">
      <selection activeCell="I20" sqref="I20"/>
    </sheetView>
  </sheetViews>
  <sheetFormatPr defaultRowHeight="14.5" x14ac:dyDescent="0.35"/>
  <sheetData>
    <row r="1" spans="1:9" ht="20" thickBot="1" x14ac:dyDescent="0.5">
      <c r="A1" s="32" t="s">
        <v>7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45377</v>
      </c>
      <c r="B3" s="33"/>
      <c r="C3" s="34"/>
      <c r="D3" s="35"/>
      <c r="E3" s="5"/>
      <c r="F3" s="33" t="s">
        <v>8</v>
      </c>
      <c r="G3" s="34"/>
      <c r="H3" s="35"/>
      <c r="I3" s="6">
        <v>200</v>
      </c>
    </row>
    <row r="4" spans="1:9" x14ac:dyDescent="0.35">
      <c r="A4" s="4">
        <v>45392</v>
      </c>
      <c r="B4" s="31" t="s">
        <v>3</v>
      </c>
      <c r="C4" s="31"/>
      <c r="D4" s="31"/>
      <c r="E4" s="5">
        <v>200</v>
      </c>
      <c r="F4" s="31"/>
      <c r="G4" s="31"/>
      <c r="H4" s="31"/>
      <c r="I4" s="6"/>
    </row>
    <row r="5" spans="1:9" x14ac:dyDescent="0.35">
      <c r="A5" s="4">
        <v>45406</v>
      </c>
      <c r="B5" s="31"/>
      <c r="C5" s="31"/>
      <c r="D5" s="31"/>
      <c r="E5" s="5"/>
      <c r="F5" s="31" t="s">
        <v>31</v>
      </c>
      <c r="G5" s="31"/>
      <c r="H5" s="31"/>
      <c r="I5" s="6">
        <v>160</v>
      </c>
    </row>
    <row r="6" spans="1:9" x14ac:dyDescent="0.35">
      <c r="A6" s="4">
        <v>45415</v>
      </c>
      <c r="B6" s="31"/>
      <c r="C6" s="31"/>
      <c r="D6" s="31"/>
      <c r="E6" s="5"/>
      <c r="F6" s="31" t="s">
        <v>32</v>
      </c>
      <c r="G6" s="31"/>
      <c r="H6" s="31"/>
      <c r="I6" s="6">
        <v>160</v>
      </c>
    </row>
    <row r="7" spans="1:9" x14ac:dyDescent="0.35">
      <c r="A7" s="4"/>
      <c r="B7" s="31" t="s">
        <v>29</v>
      </c>
      <c r="C7" s="31"/>
      <c r="D7" s="31"/>
      <c r="E7" s="5">
        <v>320</v>
      </c>
      <c r="F7" s="31"/>
      <c r="G7" s="31"/>
      <c r="H7" s="31"/>
      <c r="I7" s="6"/>
    </row>
    <row r="8" spans="1:9" ht="15.5" x14ac:dyDescent="0.45">
      <c r="A8" s="4">
        <v>45421</v>
      </c>
      <c r="B8" s="31"/>
      <c r="C8" s="31"/>
      <c r="D8" s="31"/>
      <c r="E8" s="12">
        <v>520</v>
      </c>
      <c r="F8" s="31"/>
      <c r="G8" s="31"/>
      <c r="H8" s="31"/>
      <c r="I8" s="11">
        <v>520</v>
      </c>
    </row>
    <row r="9" spans="1:9" x14ac:dyDescent="0.35">
      <c r="A9" s="3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>
        <v>45421</v>
      </c>
      <c r="B10" s="31"/>
      <c r="C10" s="31"/>
      <c r="D10" s="31"/>
      <c r="E10" s="5"/>
      <c r="F10" s="31" t="s">
        <v>4</v>
      </c>
      <c r="G10" s="31"/>
      <c r="H10" s="31"/>
      <c r="I10" s="6">
        <v>320</v>
      </c>
    </row>
    <row r="11" spans="1:9" x14ac:dyDescent="0.35">
      <c r="A11" s="4">
        <v>45425</v>
      </c>
      <c r="B11" s="31" t="s">
        <v>36</v>
      </c>
      <c r="C11" s="31"/>
      <c r="D11" s="31"/>
      <c r="E11" s="5">
        <v>320</v>
      </c>
      <c r="F11" s="31"/>
      <c r="G11" s="31"/>
      <c r="H11" s="31"/>
      <c r="I11" s="6"/>
    </row>
    <row r="12" spans="1:9" x14ac:dyDescent="0.35">
      <c r="A12" s="4">
        <v>45434</v>
      </c>
      <c r="B12" s="31"/>
      <c r="C12" s="31"/>
      <c r="D12" s="31"/>
      <c r="E12" s="5"/>
      <c r="F12" s="31" t="s">
        <v>40</v>
      </c>
      <c r="G12" s="31"/>
      <c r="H12" s="31"/>
      <c r="I12" s="6">
        <v>50</v>
      </c>
    </row>
    <row r="13" spans="1:9" x14ac:dyDescent="0.35">
      <c r="A13" s="4">
        <v>45457</v>
      </c>
      <c r="B13" s="31"/>
      <c r="C13" s="31"/>
      <c r="D13" s="31"/>
      <c r="E13" s="5"/>
      <c r="F13" s="31" t="s">
        <v>41</v>
      </c>
      <c r="G13" s="31"/>
      <c r="H13" s="31"/>
      <c r="I13" s="6">
        <v>220</v>
      </c>
    </row>
    <row r="14" spans="1:9" x14ac:dyDescent="0.35">
      <c r="A14" s="4">
        <v>45454</v>
      </c>
      <c r="B14" s="31" t="s">
        <v>40</v>
      </c>
      <c r="C14" s="31"/>
      <c r="D14" s="31"/>
      <c r="E14" s="5">
        <v>50</v>
      </c>
      <c r="F14" s="31"/>
      <c r="G14" s="31"/>
      <c r="H14" s="31"/>
      <c r="I14" s="6"/>
    </row>
    <row r="15" spans="1:9" x14ac:dyDescent="0.35">
      <c r="A15" s="4">
        <v>45464</v>
      </c>
      <c r="B15" s="31"/>
      <c r="C15" s="31"/>
      <c r="D15" s="31"/>
      <c r="E15" s="5"/>
      <c r="F15" s="31" t="s">
        <v>44</v>
      </c>
      <c r="G15" s="31"/>
      <c r="H15" s="31"/>
      <c r="I15" s="6">
        <v>450</v>
      </c>
    </row>
    <row r="16" spans="1:9" x14ac:dyDescent="0.35">
      <c r="A16" s="4">
        <v>45467</v>
      </c>
      <c r="B16" s="31" t="s">
        <v>45</v>
      </c>
      <c r="C16" s="31"/>
      <c r="D16" s="31"/>
      <c r="E16" s="5">
        <v>670</v>
      </c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 t="s">
        <v>46</v>
      </c>
      <c r="F17" s="31"/>
      <c r="G17" s="31"/>
      <c r="H17" s="31"/>
      <c r="I17" s="6"/>
    </row>
    <row r="18" spans="1:9" x14ac:dyDescent="0.35">
      <c r="A18" s="3"/>
      <c r="B18" s="31" t="s">
        <v>100</v>
      </c>
      <c r="C18" s="31"/>
      <c r="D18" s="31"/>
      <c r="E18" s="5"/>
      <c r="F18" s="31" t="s">
        <v>100</v>
      </c>
      <c r="G18" s="31"/>
      <c r="H18" s="31"/>
      <c r="I18" s="6"/>
    </row>
    <row r="19" spans="1:9" x14ac:dyDescent="0.35">
      <c r="A19" s="4">
        <v>45664</v>
      </c>
      <c r="B19" s="31"/>
      <c r="C19" s="31"/>
      <c r="D19" s="31"/>
      <c r="E19" s="5"/>
      <c r="F19" s="31" t="s">
        <v>101</v>
      </c>
      <c r="G19" s="31"/>
      <c r="H19" s="31"/>
      <c r="I19" s="6">
        <v>250</v>
      </c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K36"/>
  <sheetViews>
    <sheetView workbookViewId="0">
      <selection activeCell="F17" sqref="F17:H17"/>
    </sheetView>
  </sheetViews>
  <sheetFormatPr defaultRowHeight="14.5" x14ac:dyDescent="0.35"/>
  <cols>
    <col min="5" max="5" width="9.1796875" bestFit="1" customWidth="1"/>
    <col min="9" max="9" width="9.1796875" bestFit="1" customWidth="1"/>
    <col min="11" max="11" width="9.90625" bestFit="1" customWidth="1"/>
  </cols>
  <sheetData>
    <row r="1" spans="1:11" ht="20" thickBot="1" x14ac:dyDescent="0.5">
      <c r="A1" s="32" t="s">
        <v>15</v>
      </c>
      <c r="B1" s="32"/>
      <c r="C1" s="32"/>
      <c r="D1" s="32"/>
      <c r="E1" s="32"/>
      <c r="F1" s="32"/>
      <c r="G1" s="32"/>
      <c r="H1" s="32"/>
      <c r="I1" s="32"/>
    </row>
    <row r="2" spans="1:11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11" x14ac:dyDescent="0.35">
      <c r="A3" s="4">
        <v>45684</v>
      </c>
      <c r="B3" s="33"/>
      <c r="C3" s="34"/>
      <c r="D3" s="35"/>
      <c r="E3" s="5"/>
      <c r="F3" s="33" t="s">
        <v>120</v>
      </c>
      <c r="G3" s="34"/>
      <c r="H3" s="35"/>
      <c r="I3" s="6">
        <v>2750</v>
      </c>
    </row>
    <row r="4" spans="1:11" x14ac:dyDescent="0.35">
      <c r="A4" s="4">
        <v>45687</v>
      </c>
      <c r="B4" s="31" t="s">
        <v>24</v>
      </c>
      <c r="C4" s="31"/>
      <c r="D4" s="31"/>
      <c r="E4" s="5">
        <v>1000</v>
      </c>
      <c r="F4" s="31"/>
      <c r="G4" s="31"/>
      <c r="H4" s="31"/>
      <c r="I4" s="6"/>
    </row>
    <row r="5" spans="1:11" x14ac:dyDescent="0.35">
      <c r="A5" s="4"/>
      <c r="B5" s="31" t="s">
        <v>24</v>
      </c>
      <c r="C5" s="31"/>
      <c r="D5" s="31"/>
      <c r="E5" s="5">
        <v>500</v>
      </c>
      <c r="F5" s="31"/>
      <c r="G5" s="31"/>
      <c r="H5" s="31"/>
      <c r="I5" s="6"/>
    </row>
    <row r="6" spans="1:11" x14ac:dyDescent="0.35">
      <c r="A6" s="4">
        <v>45720</v>
      </c>
      <c r="B6" s="31"/>
      <c r="C6" s="31"/>
      <c r="D6" s="31"/>
      <c r="E6" s="5"/>
      <c r="F6" s="31" t="s">
        <v>152</v>
      </c>
      <c r="G6" s="31"/>
      <c r="H6" s="31"/>
      <c r="I6" s="6">
        <v>350</v>
      </c>
    </row>
    <row r="7" spans="1:11" ht="15.5" x14ac:dyDescent="0.45">
      <c r="A7" s="4">
        <v>45722</v>
      </c>
      <c r="B7" s="31"/>
      <c r="C7" s="31"/>
      <c r="D7" s="31"/>
      <c r="E7" s="12"/>
      <c r="F7" s="31" t="s">
        <v>153</v>
      </c>
      <c r="G7" s="31"/>
      <c r="H7" s="31"/>
      <c r="I7" s="6">
        <v>40</v>
      </c>
    </row>
    <row r="8" spans="1:11" x14ac:dyDescent="0.35">
      <c r="A8" s="3"/>
      <c r="B8" s="31"/>
      <c r="C8" s="31"/>
      <c r="D8" s="31"/>
      <c r="E8" s="5"/>
      <c r="F8" s="31" t="s">
        <v>154</v>
      </c>
      <c r="G8" s="31"/>
      <c r="H8" s="31"/>
      <c r="I8" s="6">
        <v>120</v>
      </c>
    </row>
    <row r="9" spans="1:11" x14ac:dyDescent="0.35">
      <c r="A9" s="4">
        <v>45722</v>
      </c>
      <c r="B9" s="31" t="s">
        <v>24</v>
      </c>
      <c r="C9" s="31"/>
      <c r="D9" s="31"/>
      <c r="E9" s="5">
        <v>300</v>
      </c>
      <c r="F9" s="31"/>
      <c r="G9" s="31"/>
      <c r="H9" s="31"/>
      <c r="I9" s="6"/>
    </row>
    <row r="10" spans="1:11" x14ac:dyDescent="0.35">
      <c r="A10" s="4">
        <v>45743</v>
      </c>
      <c r="B10" s="31" t="s">
        <v>24</v>
      </c>
      <c r="C10" s="31"/>
      <c r="D10" s="31"/>
      <c r="E10" s="5">
        <v>500</v>
      </c>
      <c r="F10" s="31"/>
      <c r="G10" s="31"/>
      <c r="H10" s="31"/>
      <c r="I10" s="6"/>
      <c r="K10" s="9">
        <f>SUM(E4:E10)</f>
        <v>2300</v>
      </c>
    </row>
    <row r="11" spans="1:11" x14ac:dyDescent="0.35">
      <c r="A11" s="3"/>
      <c r="B11" s="31" t="s">
        <v>29</v>
      </c>
      <c r="C11" s="31"/>
      <c r="D11" s="31"/>
      <c r="E11" s="5">
        <f>E12-K10</f>
        <v>960</v>
      </c>
      <c r="F11" s="31"/>
      <c r="G11" s="31"/>
      <c r="H11" s="31"/>
      <c r="I11" s="6"/>
    </row>
    <row r="12" spans="1:11" ht="15.5" x14ac:dyDescent="0.45">
      <c r="A12" s="3"/>
      <c r="B12" s="31"/>
      <c r="C12" s="31"/>
      <c r="D12" s="31"/>
      <c r="E12" s="12">
        <f>I12</f>
        <v>3260</v>
      </c>
      <c r="F12" s="31"/>
      <c r="G12" s="31"/>
      <c r="H12" s="31"/>
      <c r="I12" s="11">
        <f>SUM(I3:I8)</f>
        <v>3260</v>
      </c>
    </row>
    <row r="13" spans="1:11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11" x14ac:dyDescent="0.35">
      <c r="A14" s="3"/>
      <c r="B14" s="31"/>
      <c r="C14" s="31"/>
      <c r="D14" s="31"/>
      <c r="E14" s="5"/>
      <c r="F14" s="42" t="s">
        <v>126</v>
      </c>
      <c r="G14" s="42"/>
      <c r="H14" s="42"/>
      <c r="I14" s="15">
        <v>960</v>
      </c>
    </row>
    <row r="15" spans="1:11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11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25"/>
  <sheetViews>
    <sheetView topLeftCell="A5" workbookViewId="0">
      <selection activeCell="E24" sqref="E24"/>
    </sheetView>
  </sheetViews>
  <sheetFormatPr defaultRowHeight="14.5" x14ac:dyDescent="0.35"/>
  <cols>
    <col min="5" max="5" width="9.1796875" bestFit="1" customWidth="1"/>
    <col min="9" max="9" width="9.6328125" customWidth="1"/>
  </cols>
  <sheetData>
    <row r="1" spans="1:9" ht="20" thickBot="1" x14ac:dyDescent="0.5">
      <c r="A1" s="32" t="s">
        <v>114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45682</v>
      </c>
      <c r="B3" s="33"/>
      <c r="C3" s="34"/>
      <c r="D3" s="35"/>
      <c r="E3" s="5"/>
      <c r="F3" s="33" t="s">
        <v>121</v>
      </c>
      <c r="G3" s="34"/>
      <c r="H3" s="35"/>
      <c r="I3" s="6">
        <v>2830</v>
      </c>
    </row>
    <row r="4" spans="1:9" x14ac:dyDescent="0.35">
      <c r="A4" s="4">
        <v>45682</v>
      </c>
      <c r="B4" s="31" t="s">
        <v>123</v>
      </c>
      <c r="C4" s="31"/>
      <c r="D4" s="31"/>
      <c r="E4" s="5">
        <v>1500</v>
      </c>
      <c r="F4" s="31" t="s">
        <v>122</v>
      </c>
      <c r="G4" s="31"/>
      <c r="H4" s="31"/>
      <c r="I4" s="6">
        <v>1700</v>
      </c>
    </row>
    <row r="5" spans="1:9" x14ac:dyDescent="0.35">
      <c r="A5" s="4">
        <v>45691</v>
      </c>
      <c r="B5" s="31" t="s">
        <v>125</v>
      </c>
      <c r="C5" s="31"/>
      <c r="D5" s="31"/>
      <c r="E5" s="5">
        <v>1500</v>
      </c>
      <c r="F5" s="31"/>
      <c r="G5" s="31"/>
      <c r="H5" s="31"/>
      <c r="I5" s="6"/>
    </row>
    <row r="6" spans="1:9" ht="15.5" x14ac:dyDescent="0.45">
      <c r="A6" s="4">
        <v>45691</v>
      </c>
      <c r="B6" s="31" t="s">
        <v>29</v>
      </c>
      <c r="C6" s="31"/>
      <c r="D6" s="31"/>
      <c r="E6" s="5">
        <v>1530</v>
      </c>
      <c r="F6" s="31"/>
      <c r="G6" s="31"/>
      <c r="H6" s="31"/>
      <c r="I6" s="10"/>
    </row>
    <row r="7" spans="1:9" ht="15.5" x14ac:dyDescent="0.45">
      <c r="A7" s="4"/>
      <c r="B7" s="31"/>
      <c r="C7" s="31"/>
      <c r="D7" s="31"/>
      <c r="E7" s="12">
        <v>4530</v>
      </c>
      <c r="F7" s="31"/>
      <c r="G7" s="31"/>
      <c r="H7" s="31"/>
      <c r="I7" s="11">
        <f>SUM(I3:I4)</f>
        <v>4530</v>
      </c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>
        <v>45692</v>
      </c>
      <c r="B9" s="31"/>
      <c r="C9" s="31"/>
      <c r="D9" s="31"/>
      <c r="E9" s="5"/>
      <c r="F9" s="42" t="s">
        <v>4</v>
      </c>
      <c r="G9" s="42"/>
      <c r="H9" s="42"/>
      <c r="I9" s="15">
        <v>1530</v>
      </c>
    </row>
    <row r="10" spans="1:9" x14ac:dyDescent="0.35">
      <c r="A10" s="4">
        <v>45701</v>
      </c>
      <c r="B10" s="31" t="s">
        <v>24</v>
      </c>
      <c r="C10" s="31"/>
      <c r="D10" s="31"/>
      <c r="E10" s="5">
        <v>1000</v>
      </c>
      <c r="F10" s="31"/>
      <c r="G10" s="31"/>
      <c r="H10" s="31"/>
      <c r="I10" s="6"/>
    </row>
    <row r="11" spans="1:9" x14ac:dyDescent="0.35">
      <c r="A11" s="4">
        <v>45708</v>
      </c>
      <c r="B11" s="31"/>
      <c r="C11" s="31"/>
      <c r="D11" s="31"/>
      <c r="E11" s="5"/>
      <c r="F11" s="31" t="s">
        <v>144</v>
      </c>
      <c r="G11" s="31"/>
      <c r="H11" s="31"/>
      <c r="I11" s="6">
        <v>1215</v>
      </c>
    </row>
    <row r="12" spans="1:9" x14ac:dyDescent="0.35">
      <c r="A12" s="4">
        <v>45708</v>
      </c>
      <c r="B12" s="31" t="s">
        <v>29</v>
      </c>
      <c r="C12" s="31"/>
      <c r="D12" s="31"/>
      <c r="E12" s="5">
        <v>1745</v>
      </c>
      <c r="F12" s="31"/>
      <c r="G12" s="31"/>
      <c r="H12" s="31"/>
      <c r="I12" s="6"/>
    </row>
    <row r="13" spans="1:9" ht="15.5" x14ac:dyDescent="0.45">
      <c r="A13" s="4"/>
      <c r="B13" s="31"/>
      <c r="C13" s="31"/>
      <c r="D13" s="31"/>
      <c r="E13" s="12">
        <v>2745</v>
      </c>
      <c r="F13" s="31"/>
      <c r="G13" s="31"/>
      <c r="H13" s="31"/>
      <c r="I13" s="11">
        <f>SUM(I9:I11)</f>
        <v>2745</v>
      </c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2"/>
      <c r="F15" s="42" t="s">
        <v>126</v>
      </c>
      <c r="G15" s="42"/>
      <c r="H15" s="42"/>
      <c r="I15" s="15">
        <v>1745</v>
      </c>
    </row>
    <row r="16" spans="1:9" x14ac:dyDescent="0.35">
      <c r="A16" s="4">
        <v>45709</v>
      </c>
      <c r="B16" s="31" t="s">
        <v>24</v>
      </c>
      <c r="C16" s="31"/>
      <c r="D16" s="31"/>
      <c r="E16" s="5">
        <v>1000</v>
      </c>
      <c r="F16" s="31"/>
      <c r="G16" s="31"/>
      <c r="H16" s="31"/>
      <c r="I16" s="6"/>
    </row>
    <row r="17" spans="1:9" x14ac:dyDescent="0.35">
      <c r="A17" s="4">
        <v>45716</v>
      </c>
      <c r="B17" s="33"/>
      <c r="C17" s="34"/>
      <c r="D17" s="35"/>
      <c r="E17" s="5"/>
      <c r="F17" s="31" t="s">
        <v>162</v>
      </c>
      <c r="G17" s="31"/>
      <c r="H17" s="31"/>
      <c r="I17" s="6">
        <v>700</v>
      </c>
    </row>
    <row r="18" spans="1:9" x14ac:dyDescent="0.35">
      <c r="A18" s="4">
        <v>45717</v>
      </c>
      <c r="B18" s="31" t="s">
        <v>149</v>
      </c>
      <c r="C18" s="31"/>
      <c r="D18" s="31"/>
      <c r="E18" s="5">
        <v>1000</v>
      </c>
      <c r="F18" s="31"/>
      <c r="G18" s="31"/>
      <c r="H18" s="31"/>
      <c r="I18" s="6"/>
    </row>
    <row r="19" spans="1:9" x14ac:dyDescent="0.35">
      <c r="A19" s="4">
        <v>45726</v>
      </c>
      <c r="B19" s="31" t="s">
        <v>29</v>
      </c>
      <c r="C19" s="31"/>
      <c r="D19" s="31"/>
      <c r="E19" s="5">
        <v>445</v>
      </c>
      <c r="F19" s="31"/>
      <c r="G19" s="31"/>
      <c r="H19" s="31"/>
      <c r="I19" s="6"/>
    </row>
    <row r="20" spans="1:9" ht="15.5" x14ac:dyDescent="0.45">
      <c r="A20" s="14"/>
      <c r="B20" s="31"/>
      <c r="C20" s="31"/>
      <c r="D20" s="31"/>
      <c r="E20" s="12">
        <v>2445</v>
      </c>
      <c r="F20" s="31"/>
      <c r="G20" s="31"/>
      <c r="H20" s="31"/>
      <c r="I20" s="11">
        <f>SUM(I15:I17)</f>
        <v>2445</v>
      </c>
    </row>
    <row r="21" spans="1:9" x14ac:dyDescent="0.35">
      <c r="A21" s="14"/>
      <c r="B21" s="31"/>
      <c r="C21" s="31"/>
      <c r="D21" s="31"/>
      <c r="E21" s="5"/>
      <c r="F21" s="31" t="s">
        <v>46</v>
      </c>
      <c r="G21" s="31"/>
      <c r="H21" s="31"/>
      <c r="I21" s="6"/>
    </row>
    <row r="22" spans="1:9" x14ac:dyDescent="0.35">
      <c r="A22" s="14">
        <v>45727</v>
      </c>
      <c r="B22" s="31"/>
      <c r="C22" s="31"/>
      <c r="D22" s="31"/>
      <c r="E22" s="5"/>
      <c r="F22" s="42" t="s">
        <v>126</v>
      </c>
      <c r="G22" s="42"/>
      <c r="H22" s="42"/>
      <c r="I22" s="15">
        <v>445</v>
      </c>
    </row>
    <row r="23" spans="1:9" x14ac:dyDescent="0.35">
      <c r="A23" s="14">
        <v>45729</v>
      </c>
      <c r="B23" s="31" t="s">
        <v>21</v>
      </c>
      <c r="C23" s="31"/>
      <c r="D23" s="31"/>
      <c r="E23" s="5">
        <v>445</v>
      </c>
      <c r="F23" s="31"/>
      <c r="G23" s="31"/>
      <c r="H23" s="31"/>
      <c r="I23" s="6"/>
    </row>
    <row r="24" spans="1:9" x14ac:dyDescent="0.35">
      <c r="A24" s="14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</sheetData>
  <mergeCells count="49">
    <mergeCell ref="B17:D17"/>
    <mergeCell ref="F17:H17"/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8:D18"/>
    <mergeCell ref="F18:H18"/>
    <mergeCell ref="B19:D19"/>
    <mergeCell ref="F19:H19"/>
    <mergeCell ref="B20:D20"/>
    <mergeCell ref="F20:H20"/>
    <mergeCell ref="B24:D24"/>
    <mergeCell ref="F24:H24"/>
    <mergeCell ref="B25:D25"/>
    <mergeCell ref="F25:H25"/>
    <mergeCell ref="B21:D21"/>
    <mergeCell ref="F21:H21"/>
    <mergeCell ref="B22:D22"/>
    <mergeCell ref="F22:H22"/>
    <mergeCell ref="B23:D23"/>
    <mergeCell ref="F23:H2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37"/>
  <sheetViews>
    <sheetView topLeftCell="A8" workbookViewId="0">
      <selection activeCell="B26" sqref="B26:D26"/>
    </sheetView>
  </sheetViews>
  <sheetFormatPr defaultRowHeight="14.5" x14ac:dyDescent="0.35"/>
  <sheetData>
    <row r="1" spans="1:9" ht="20" thickBot="1" x14ac:dyDescent="0.5">
      <c r="A1" s="32" t="s">
        <v>16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45387</v>
      </c>
      <c r="B3" s="33"/>
      <c r="C3" s="34"/>
      <c r="D3" s="35"/>
      <c r="E3" s="5"/>
      <c r="F3" s="33" t="s">
        <v>17</v>
      </c>
      <c r="G3" s="34"/>
      <c r="H3" s="35"/>
      <c r="I3" s="6">
        <v>230</v>
      </c>
    </row>
    <row r="4" spans="1:9" x14ac:dyDescent="0.35">
      <c r="A4" s="4"/>
      <c r="B4" s="31"/>
      <c r="C4" s="31"/>
      <c r="D4" s="31"/>
      <c r="E4" s="5"/>
      <c r="F4" s="31" t="s">
        <v>18</v>
      </c>
      <c r="G4" s="31"/>
      <c r="H4" s="31"/>
      <c r="I4" s="6">
        <v>70</v>
      </c>
    </row>
    <row r="5" spans="1:9" x14ac:dyDescent="0.35">
      <c r="A5" s="4">
        <v>45394</v>
      </c>
      <c r="B5" s="31" t="s">
        <v>20</v>
      </c>
      <c r="C5" s="31"/>
      <c r="D5" s="31"/>
      <c r="E5" s="5">
        <v>230</v>
      </c>
      <c r="F5" s="31"/>
      <c r="G5" s="31"/>
      <c r="H5" s="31"/>
      <c r="I5" s="6"/>
    </row>
    <row r="6" spans="1:9" ht="15.5" x14ac:dyDescent="0.45">
      <c r="A6" s="4"/>
      <c r="B6" s="31" t="s">
        <v>29</v>
      </c>
      <c r="C6" s="31"/>
      <c r="D6" s="31"/>
      <c r="E6" s="5">
        <v>70</v>
      </c>
      <c r="F6" s="31"/>
      <c r="G6" s="31"/>
      <c r="H6" s="31"/>
      <c r="I6" s="10"/>
    </row>
    <row r="7" spans="1:9" ht="15.5" x14ac:dyDescent="0.45">
      <c r="A7" s="4"/>
      <c r="B7" s="31"/>
      <c r="C7" s="31"/>
      <c r="D7" s="31"/>
      <c r="E7" s="12">
        <v>300</v>
      </c>
      <c r="F7" s="31"/>
      <c r="G7" s="31"/>
      <c r="H7" s="31"/>
      <c r="I7" s="11">
        <v>300</v>
      </c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>
        <v>45422</v>
      </c>
      <c r="B9" s="31"/>
      <c r="C9" s="31"/>
      <c r="D9" s="31"/>
      <c r="E9" s="5"/>
      <c r="F9" s="31" t="s">
        <v>4</v>
      </c>
      <c r="G9" s="31"/>
      <c r="H9" s="31"/>
      <c r="I9" s="6">
        <v>70</v>
      </c>
    </row>
    <row r="10" spans="1:9" x14ac:dyDescent="0.35">
      <c r="A10" s="4">
        <v>45462</v>
      </c>
      <c r="B10" s="31" t="s">
        <v>26</v>
      </c>
      <c r="C10" s="31"/>
      <c r="D10" s="31"/>
      <c r="E10" s="5">
        <v>70</v>
      </c>
      <c r="F10" s="31"/>
      <c r="G10" s="31"/>
      <c r="H10" s="31"/>
      <c r="I10" s="6"/>
    </row>
    <row r="11" spans="1:9" x14ac:dyDescent="0.35">
      <c r="A11" s="4">
        <v>45539</v>
      </c>
      <c r="B11" s="31"/>
      <c r="C11" s="31"/>
      <c r="D11" s="31"/>
      <c r="E11" s="5"/>
      <c r="F11" s="31" t="s">
        <v>56</v>
      </c>
      <c r="G11" s="31"/>
      <c r="H11" s="31"/>
      <c r="I11" s="6">
        <v>200</v>
      </c>
    </row>
    <row r="12" spans="1:9" x14ac:dyDescent="0.35">
      <c r="A12" s="4">
        <v>45553</v>
      </c>
      <c r="B12" s="31"/>
      <c r="C12" s="31"/>
      <c r="D12" s="31"/>
      <c r="E12" s="5"/>
      <c r="F12" s="31" t="s">
        <v>57</v>
      </c>
      <c r="G12" s="31"/>
      <c r="H12" s="31"/>
      <c r="I12" s="6">
        <v>650</v>
      </c>
    </row>
    <row r="13" spans="1:9" x14ac:dyDescent="0.35">
      <c r="A13" s="4">
        <v>45554</v>
      </c>
      <c r="B13" s="31" t="s">
        <v>56</v>
      </c>
      <c r="C13" s="31"/>
      <c r="D13" s="31"/>
      <c r="E13" s="5">
        <v>200</v>
      </c>
      <c r="F13" s="31"/>
      <c r="G13" s="31"/>
      <c r="H13" s="31"/>
      <c r="I13" s="6"/>
    </row>
    <row r="14" spans="1:9" x14ac:dyDescent="0.35">
      <c r="A14" s="3"/>
      <c r="B14" s="31" t="s">
        <v>57</v>
      </c>
      <c r="C14" s="31"/>
      <c r="D14" s="31"/>
      <c r="E14" s="5">
        <v>150</v>
      </c>
      <c r="F14" s="31"/>
      <c r="G14" s="31"/>
      <c r="H14" s="31"/>
      <c r="I14" s="6"/>
    </row>
    <row r="15" spans="1:9" x14ac:dyDescent="0.35">
      <c r="A15" s="4">
        <v>45560</v>
      </c>
      <c r="B15" s="31" t="s">
        <v>58</v>
      </c>
      <c r="C15" s="31"/>
      <c r="D15" s="31"/>
      <c r="E15" s="5">
        <v>500</v>
      </c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</sheetData>
  <mergeCells count="73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3:D13"/>
    <mergeCell ref="F13:H13"/>
    <mergeCell ref="B14:D14"/>
    <mergeCell ref="F14:H14"/>
    <mergeCell ref="B12:D12"/>
    <mergeCell ref="F12:H12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2:D32"/>
    <mergeCell ref="F32:H32"/>
    <mergeCell ref="B36:D36"/>
    <mergeCell ref="F36:H36"/>
    <mergeCell ref="B37:D37"/>
    <mergeCell ref="F37:H37"/>
    <mergeCell ref="B33:D33"/>
    <mergeCell ref="F33:H33"/>
    <mergeCell ref="B34:D34"/>
    <mergeCell ref="F34:H34"/>
    <mergeCell ref="B35:D35"/>
    <mergeCell ref="F35:H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89999084444715716"/>
  </sheetPr>
  <dimension ref="A1:I36"/>
  <sheetViews>
    <sheetView workbookViewId="0">
      <selection activeCell="F16" sqref="F16:H16"/>
    </sheetView>
  </sheetViews>
  <sheetFormatPr defaultRowHeight="14.5" x14ac:dyDescent="0.35"/>
  <sheetData>
    <row r="1" spans="1:9" ht="20" thickBot="1" x14ac:dyDescent="0.5">
      <c r="A1" s="32" t="s">
        <v>27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45337</v>
      </c>
      <c r="B3" s="33" t="s">
        <v>26</v>
      </c>
      <c r="C3" s="34"/>
      <c r="D3" s="35"/>
      <c r="E3" s="5">
        <v>100</v>
      </c>
      <c r="F3" s="33" t="s">
        <v>4</v>
      </c>
      <c r="G3" s="34"/>
      <c r="H3" s="35"/>
      <c r="I3" s="6">
        <v>225</v>
      </c>
    </row>
    <row r="4" spans="1:9" x14ac:dyDescent="0.35">
      <c r="A4" s="4"/>
      <c r="B4" s="31"/>
      <c r="C4" s="31"/>
      <c r="D4" s="31"/>
      <c r="E4" s="5"/>
      <c r="F4" s="31" t="s">
        <v>25</v>
      </c>
      <c r="G4" s="31"/>
      <c r="H4" s="31"/>
      <c r="I4" s="6">
        <v>150</v>
      </c>
    </row>
    <row r="5" spans="1:9" x14ac:dyDescent="0.35">
      <c r="A5" s="4">
        <v>45345</v>
      </c>
      <c r="B5" s="31" t="s">
        <v>25</v>
      </c>
      <c r="C5" s="31"/>
      <c r="D5" s="31"/>
      <c r="E5" s="5">
        <v>150</v>
      </c>
      <c r="F5" s="31"/>
      <c r="G5" s="31"/>
      <c r="H5" s="31"/>
      <c r="I5" s="6"/>
    </row>
    <row r="6" spans="1:9" ht="15.5" x14ac:dyDescent="0.45">
      <c r="A6" s="4"/>
      <c r="B6" s="31" t="s">
        <v>29</v>
      </c>
      <c r="C6" s="31"/>
      <c r="D6" s="31"/>
      <c r="E6" s="5">
        <v>125</v>
      </c>
      <c r="F6" s="31"/>
      <c r="G6" s="31"/>
      <c r="H6" s="31"/>
      <c r="I6" s="10"/>
    </row>
    <row r="7" spans="1:9" ht="15.5" x14ac:dyDescent="0.45">
      <c r="A7" s="4"/>
      <c r="B7" s="31"/>
      <c r="C7" s="31"/>
      <c r="D7" s="31"/>
      <c r="E7" s="12">
        <v>375</v>
      </c>
      <c r="F7" s="31"/>
      <c r="G7" s="31"/>
      <c r="H7" s="31"/>
      <c r="I7" s="11">
        <v>375</v>
      </c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3"/>
      <c r="B9" s="31"/>
      <c r="C9" s="31"/>
      <c r="D9" s="31"/>
      <c r="E9" s="5"/>
      <c r="F9" s="31" t="s">
        <v>4</v>
      </c>
      <c r="G9" s="31"/>
      <c r="H9" s="31"/>
      <c r="I9" s="6">
        <v>125</v>
      </c>
    </row>
    <row r="10" spans="1:9" x14ac:dyDescent="0.35">
      <c r="A10" s="3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3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36"/>
  <sheetViews>
    <sheetView workbookViewId="0">
      <selection activeCell="A21" sqref="A21"/>
    </sheetView>
  </sheetViews>
  <sheetFormatPr defaultRowHeight="14.5" x14ac:dyDescent="0.35"/>
  <cols>
    <col min="1" max="1" width="9.36328125" customWidth="1"/>
  </cols>
  <sheetData>
    <row r="1" spans="1:9" ht="20" thickBot="1" x14ac:dyDescent="0.5">
      <c r="A1" s="32" t="s">
        <v>9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45323</v>
      </c>
      <c r="B3" s="33"/>
      <c r="C3" s="34"/>
      <c r="D3" s="35"/>
      <c r="E3" s="5"/>
      <c r="F3" s="33" t="s">
        <v>4</v>
      </c>
      <c r="G3" s="34"/>
      <c r="H3" s="35"/>
      <c r="I3" s="6">
        <v>380</v>
      </c>
    </row>
    <row r="4" spans="1:9" x14ac:dyDescent="0.35">
      <c r="A4" s="4">
        <v>45330</v>
      </c>
      <c r="B4" s="31" t="s">
        <v>3</v>
      </c>
      <c r="C4" s="31"/>
      <c r="D4" s="31"/>
      <c r="E4" s="5">
        <v>250</v>
      </c>
      <c r="F4" s="31"/>
      <c r="G4" s="31"/>
      <c r="H4" s="31"/>
      <c r="I4" s="6"/>
    </row>
    <row r="5" spans="1:9" x14ac:dyDescent="0.35">
      <c r="A5" s="4">
        <v>45391</v>
      </c>
      <c r="B5" s="31" t="s">
        <v>3</v>
      </c>
      <c r="C5" s="31"/>
      <c r="D5" s="31"/>
      <c r="E5" s="5">
        <v>50</v>
      </c>
      <c r="F5" s="31"/>
      <c r="G5" s="31"/>
      <c r="H5" s="31"/>
      <c r="I5" s="6"/>
    </row>
    <row r="6" spans="1:9" ht="15.5" x14ac:dyDescent="0.45">
      <c r="A6" s="4">
        <v>45418</v>
      </c>
      <c r="B6" s="31" t="s">
        <v>3</v>
      </c>
      <c r="C6" s="31"/>
      <c r="D6" s="31"/>
      <c r="E6" s="5">
        <v>40</v>
      </c>
      <c r="F6" s="31"/>
      <c r="G6" s="31"/>
      <c r="H6" s="31"/>
      <c r="I6" s="10"/>
    </row>
    <row r="7" spans="1:9" x14ac:dyDescent="0.35">
      <c r="A7" s="4">
        <v>45421</v>
      </c>
      <c r="B7" s="31"/>
      <c r="C7" s="31"/>
      <c r="D7" s="31"/>
      <c r="E7" s="5"/>
      <c r="F7" s="31" t="s">
        <v>34</v>
      </c>
      <c r="G7" s="31"/>
      <c r="H7" s="31"/>
      <c r="I7" s="6">
        <v>120</v>
      </c>
    </row>
    <row r="8" spans="1:9" x14ac:dyDescent="0.35">
      <c r="A8" s="4">
        <v>45422</v>
      </c>
      <c r="B8" s="31" t="s">
        <v>3</v>
      </c>
      <c r="C8" s="31"/>
      <c r="D8" s="31"/>
      <c r="E8" s="5">
        <v>100</v>
      </c>
      <c r="F8" s="31"/>
      <c r="G8" s="31"/>
      <c r="H8" s="31"/>
      <c r="I8" s="6"/>
    </row>
    <row r="9" spans="1:9" x14ac:dyDescent="0.35">
      <c r="A9" s="3"/>
      <c r="B9" s="31" t="s">
        <v>29</v>
      </c>
      <c r="C9" s="31"/>
      <c r="D9" s="31"/>
      <c r="E9" s="5">
        <v>60</v>
      </c>
      <c r="F9" s="31"/>
      <c r="G9" s="31"/>
      <c r="H9" s="31"/>
      <c r="I9" s="6"/>
    </row>
    <row r="10" spans="1:9" ht="15.5" x14ac:dyDescent="0.45">
      <c r="A10" s="3"/>
      <c r="B10" s="31"/>
      <c r="C10" s="31"/>
      <c r="D10" s="31"/>
      <c r="E10" s="12">
        <v>500</v>
      </c>
      <c r="F10" s="31"/>
      <c r="G10" s="31"/>
      <c r="H10" s="31"/>
      <c r="I10" s="11">
        <v>500</v>
      </c>
    </row>
    <row r="11" spans="1:9" x14ac:dyDescent="0.35">
      <c r="A11" s="3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 t="s">
        <v>4</v>
      </c>
      <c r="G12" s="31"/>
      <c r="H12" s="31"/>
      <c r="I12" s="6">
        <v>60</v>
      </c>
    </row>
    <row r="13" spans="1:9" x14ac:dyDescent="0.35">
      <c r="A13" s="4">
        <v>45471</v>
      </c>
      <c r="B13" s="31" t="s">
        <v>26</v>
      </c>
      <c r="C13" s="31"/>
      <c r="D13" s="31"/>
      <c r="E13" s="5">
        <v>50</v>
      </c>
      <c r="F13" s="31"/>
      <c r="G13" s="31"/>
      <c r="H13" s="31"/>
      <c r="I13" s="6"/>
    </row>
    <row r="14" spans="1:9" x14ac:dyDescent="0.35">
      <c r="A14" s="4">
        <v>45558</v>
      </c>
      <c r="B14" s="31"/>
      <c r="C14" s="31"/>
      <c r="D14" s="31"/>
      <c r="E14" s="5"/>
      <c r="F14" s="31" t="s">
        <v>64</v>
      </c>
      <c r="G14" s="31"/>
      <c r="H14" s="31"/>
      <c r="I14" s="6">
        <v>140</v>
      </c>
    </row>
    <row r="15" spans="1:9" x14ac:dyDescent="0.35">
      <c r="A15" s="4">
        <v>45569</v>
      </c>
      <c r="B15" s="31" t="s">
        <v>65</v>
      </c>
      <c r="C15" s="31"/>
      <c r="D15" s="31"/>
      <c r="E15" s="5">
        <v>140</v>
      </c>
      <c r="F15" s="31"/>
      <c r="G15" s="31"/>
      <c r="H15" s="31"/>
      <c r="I15" s="6"/>
    </row>
    <row r="16" spans="1:9" x14ac:dyDescent="0.35">
      <c r="A16" s="4">
        <v>45576</v>
      </c>
      <c r="B16" s="31"/>
      <c r="C16" s="31"/>
      <c r="D16" s="31"/>
      <c r="E16" s="5"/>
      <c r="F16" s="31" t="s">
        <v>68</v>
      </c>
      <c r="G16" s="31"/>
      <c r="H16" s="31"/>
      <c r="I16" s="6">
        <v>310</v>
      </c>
    </row>
    <row r="17" spans="1:9" x14ac:dyDescent="0.35">
      <c r="A17" s="4">
        <v>45576</v>
      </c>
      <c r="B17" s="31" t="s">
        <v>67</v>
      </c>
      <c r="C17" s="31"/>
      <c r="D17" s="31"/>
      <c r="E17" s="5">
        <v>200</v>
      </c>
      <c r="F17" s="31"/>
      <c r="G17" s="31"/>
      <c r="H17" s="31"/>
      <c r="I17" s="6"/>
    </row>
    <row r="18" spans="1:9" x14ac:dyDescent="0.35">
      <c r="A18" s="4">
        <v>45604</v>
      </c>
      <c r="B18" s="31" t="s">
        <v>75</v>
      </c>
      <c r="C18" s="31"/>
      <c r="D18" s="31"/>
      <c r="E18" s="5">
        <v>60</v>
      </c>
      <c r="F18" s="31"/>
      <c r="G18" s="31"/>
      <c r="H18" s="31"/>
      <c r="I18" s="6"/>
    </row>
    <row r="19" spans="1:9" x14ac:dyDescent="0.35">
      <c r="A19" s="14">
        <v>46000</v>
      </c>
      <c r="B19" s="31" t="s">
        <v>21</v>
      </c>
      <c r="C19" s="31"/>
      <c r="D19" s="31"/>
      <c r="E19" s="5">
        <v>15</v>
      </c>
      <c r="F19" s="31"/>
      <c r="G19" s="31"/>
      <c r="H19" s="31"/>
      <c r="I19" s="6"/>
    </row>
    <row r="20" spans="1:9" x14ac:dyDescent="0.35">
      <c r="A20" s="14">
        <v>46002</v>
      </c>
      <c r="B20" s="31" t="s">
        <v>21</v>
      </c>
      <c r="C20" s="31"/>
      <c r="D20" s="31"/>
      <c r="E20" s="5">
        <v>20</v>
      </c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 t="s">
        <v>19</v>
      </c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 t="s">
        <v>66</v>
      </c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I37"/>
  <sheetViews>
    <sheetView workbookViewId="0">
      <selection activeCell="I2" sqref="I1:I1048576"/>
    </sheetView>
  </sheetViews>
  <sheetFormatPr defaultRowHeight="14.5" x14ac:dyDescent="0.35"/>
  <cols>
    <col min="5" max="5" width="9.26953125" customWidth="1"/>
    <col min="9" max="9" width="9.6328125" customWidth="1"/>
  </cols>
  <sheetData>
    <row r="1" spans="1:9" ht="20" thickBot="1" x14ac:dyDescent="0.5">
      <c r="A1" s="32" t="s">
        <v>10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13" t="s">
        <v>1</v>
      </c>
      <c r="B2" s="42" t="s">
        <v>2</v>
      </c>
      <c r="C2" s="42"/>
      <c r="D2" s="42"/>
      <c r="E2" s="5"/>
      <c r="F2" s="42" t="s">
        <v>2</v>
      </c>
      <c r="G2" s="42"/>
      <c r="H2" s="42"/>
      <c r="I2" s="6"/>
    </row>
    <row r="3" spans="1:9" x14ac:dyDescent="0.35">
      <c r="A3" s="4"/>
      <c r="B3" s="33"/>
      <c r="C3" s="34"/>
      <c r="D3" s="35"/>
      <c r="E3" s="5"/>
      <c r="F3" s="33" t="s">
        <v>11</v>
      </c>
      <c r="G3" s="34"/>
      <c r="H3" s="35"/>
      <c r="I3" s="6">
        <v>3480</v>
      </c>
    </row>
    <row r="4" spans="1:9" x14ac:dyDescent="0.35">
      <c r="A4" s="4">
        <v>45330</v>
      </c>
      <c r="B4" s="31" t="s">
        <v>3</v>
      </c>
      <c r="C4" s="31"/>
      <c r="D4" s="31"/>
      <c r="E4" s="5">
        <v>1000</v>
      </c>
      <c r="F4" s="31"/>
      <c r="G4" s="31"/>
      <c r="H4" s="31"/>
      <c r="I4" s="6"/>
    </row>
    <row r="5" spans="1:9" x14ac:dyDescent="0.35">
      <c r="A5" s="4"/>
      <c r="B5" s="31" t="s">
        <v>28</v>
      </c>
      <c r="C5" s="31"/>
      <c r="D5" s="31"/>
      <c r="E5" s="5">
        <v>400</v>
      </c>
      <c r="F5" s="31"/>
      <c r="G5" s="31"/>
      <c r="H5" s="31"/>
      <c r="I5" s="6"/>
    </row>
    <row r="6" spans="1:9" x14ac:dyDescent="0.35">
      <c r="A6" s="4">
        <v>45345</v>
      </c>
      <c r="B6" s="31" t="s">
        <v>3</v>
      </c>
      <c r="C6" s="31"/>
      <c r="D6" s="31"/>
      <c r="E6" s="5">
        <v>1500</v>
      </c>
      <c r="F6" s="31"/>
      <c r="G6" s="31"/>
      <c r="H6" s="31"/>
      <c r="I6" s="6"/>
    </row>
    <row r="7" spans="1:9" x14ac:dyDescent="0.35">
      <c r="A7" s="4"/>
      <c r="B7" s="31" t="s">
        <v>29</v>
      </c>
      <c r="C7" s="31"/>
      <c r="D7" s="31"/>
      <c r="E7" s="5">
        <v>580</v>
      </c>
      <c r="F7" s="31"/>
      <c r="G7" s="31"/>
      <c r="H7" s="31"/>
      <c r="I7" s="6"/>
    </row>
    <row r="8" spans="1:9" ht="15.5" x14ac:dyDescent="0.45">
      <c r="A8" s="4"/>
      <c r="B8" s="31"/>
      <c r="C8" s="31"/>
      <c r="D8" s="31"/>
      <c r="E8" s="12">
        <v>3480</v>
      </c>
      <c r="F8" s="31"/>
      <c r="G8" s="31"/>
      <c r="H8" s="31"/>
      <c r="I8" s="11">
        <v>3480</v>
      </c>
    </row>
    <row r="9" spans="1:9" x14ac:dyDescent="0.35">
      <c r="A9" s="4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>
        <v>45421</v>
      </c>
      <c r="B10" s="31"/>
      <c r="C10" s="31"/>
      <c r="D10" s="31"/>
      <c r="E10" s="5"/>
      <c r="F10" s="31" t="s">
        <v>4</v>
      </c>
      <c r="G10" s="31"/>
      <c r="H10" s="31"/>
      <c r="I10" s="6">
        <v>580</v>
      </c>
    </row>
    <row r="11" spans="1:9" x14ac:dyDescent="0.35">
      <c r="A11" s="3"/>
      <c r="B11" s="31" t="s">
        <v>26</v>
      </c>
      <c r="C11" s="31"/>
      <c r="D11" s="31"/>
      <c r="E11" s="5">
        <v>500</v>
      </c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</sheetData>
  <mergeCells count="73">
    <mergeCell ref="B36:D36"/>
    <mergeCell ref="F36:H36"/>
    <mergeCell ref="B37:D37"/>
    <mergeCell ref="F37:H37"/>
    <mergeCell ref="B33:D33"/>
    <mergeCell ref="F33:H33"/>
    <mergeCell ref="B34:D34"/>
    <mergeCell ref="F34:H34"/>
    <mergeCell ref="B35:D35"/>
    <mergeCell ref="F35:H35"/>
    <mergeCell ref="B30:D30"/>
    <mergeCell ref="F30:H30"/>
    <mergeCell ref="B31:D31"/>
    <mergeCell ref="F31:H31"/>
    <mergeCell ref="B32:D32"/>
    <mergeCell ref="F32:H32"/>
    <mergeCell ref="B27:D27"/>
    <mergeCell ref="F27:H27"/>
    <mergeCell ref="B28:D28"/>
    <mergeCell ref="F28:H28"/>
    <mergeCell ref="B29:D29"/>
    <mergeCell ref="F29:H29"/>
    <mergeCell ref="B24:D24"/>
    <mergeCell ref="F24:H24"/>
    <mergeCell ref="B25:D25"/>
    <mergeCell ref="F25:H25"/>
    <mergeCell ref="B26:D26"/>
    <mergeCell ref="F26:H26"/>
    <mergeCell ref="B21:D21"/>
    <mergeCell ref="F21:H21"/>
    <mergeCell ref="B22:D22"/>
    <mergeCell ref="F22:H22"/>
    <mergeCell ref="B23:D23"/>
    <mergeCell ref="F23:H23"/>
    <mergeCell ref="B18:D18"/>
    <mergeCell ref="F18:H18"/>
    <mergeCell ref="B19:D19"/>
    <mergeCell ref="F19:H19"/>
    <mergeCell ref="B20:D20"/>
    <mergeCell ref="F20:H20"/>
    <mergeCell ref="B15:D15"/>
    <mergeCell ref="F15:H15"/>
    <mergeCell ref="B16:D16"/>
    <mergeCell ref="F16:H16"/>
    <mergeCell ref="B17:D17"/>
    <mergeCell ref="F17:H17"/>
    <mergeCell ref="B12:D12"/>
    <mergeCell ref="F12:H12"/>
    <mergeCell ref="B13:D13"/>
    <mergeCell ref="F13:H13"/>
    <mergeCell ref="B14:D14"/>
    <mergeCell ref="F14:H14"/>
    <mergeCell ref="B9:D9"/>
    <mergeCell ref="F9:H9"/>
    <mergeCell ref="B10:D10"/>
    <mergeCell ref="F10:H10"/>
    <mergeCell ref="B11:D11"/>
    <mergeCell ref="F11:H11"/>
    <mergeCell ref="B6:D6"/>
    <mergeCell ref="F6:H6"/>
    <mergeCell ref="B7:D7"/>
    <mergeCell ref="F7:H7"/>
    <mergeCell ref="B8:D8"/>
    <mergeCell ref="F8:H8"/>
    <mergeCell ref="B5:D5"/>
    <mergeCell ref="F5:H5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M124"/>
  <sheetViews>
    <sheetView topLeftCell="A48" workbookViewId="0">
      <selection activeCell="E59" sqref="E59"/>
    </sheetView>
  </sheetViews>
  <sheetFormatPr defaultRowHeight="14.5" x14ac:dyDescent="0.35"/>
  <cols>
    <col min="5" max="5" width="9.453125" customWidth="1"/>
    <col min="9" max="9" width="9.6328125" customWidth="1"/>
    <col min="11" max="11" width="9.90625" bestFit="1" customWidth="1"/>
    <col min="13" max="13" width="9.90625" bestFit="1" customWidth="1"/>
  </cols>
  <sheetData>
    <row r="1" spans="1:9" ht="20" thickBot="1" x14ac:dyDescent="0.5">
      <c r="A1" s="32" t="s">
        <v>135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45399</v>
      </c>
      <c r="B3" s="33" t="s">
        <v>24</v>
      </c>
      <c r="C3" s="34"/>
      <c r="D3" s="35"/>
      <c r="E3" s="5">
        <v>1000</v>
      </c>
      <c r="F3" s="33" t="s">
        <v>23</v>
      </c>
      <c r="G3" s="34"/>
      <c r="H3" s="35"/>
      <c r="I3" s="6">
        <v>4430</v>
      </c>
    </row>
    <row r="4" spans="1:9" x14ac:dyDescent="0.35">
      <c r="A4" s="4">
        <v>45400</v>
      </c>
      <c r="B4" s="31" t="s">
        <v>24</v>
      </c>
      <c r="C4" s="31"/>
      <c r="D4" s="31"/>
      <c r="E4" s="5">
        <v>1900</v>
      </c>
      <c r="F4" s="31"/>
      <c r="G4" s="31"/>
      <c r="H4" s="31"/>
      <c r="I4" s="6"/>
    </row>
    <row r="5" spans="1:9" x14ac:dyDescent="0.35">
      <c r="A5" s="4"/>
      <c r="B5" s="31" t="s">
        <v>24</v>
      </c>
      <c r="C5" s="31"/>
      <c r="D5" s="31"/>
      <c r="E5" s="5">
        <v>300</v>
      </c>
      <c r="F5" s="31"/>
      <c r="G5" s="31"/>
      <c r="H5" s="31"/>
      <c r="I5" s="6"/>
    </row>
    <row r="6" spans="1:9" ht="15.5" x14ac:dyDescent="0.45">
      <c r="A6" s="4"/>
      <c r="B6" s="31" t="s">
        <v>29</v>
      </c>
      <c r="C6" s="31"/>
      <c r="D6" s="31"/>
      <c r="E6" s="5">
        <v>1230</v>
      </c>
      <c r="F6" s="31"/>
      <c r="G6" s="31"/>
      <c r="H6" s="31"/>
      <c r="I6" s="10"/>
    </row>
    <row r="7" spans="1:9" ht="15.5" x14ac:dyDescent="0.45">
      <c r="A7" s="4"/>
      <c r="B7" s="31"/>
      <c r="C7" s="31"/>
      <c r="D7" s="31"/>
      <c r="E7" s="12">
        <v>4430</v>
      </c>
      <c r="F7" s="31"/>
      <c r="G7" s="31"/>
      <c r="H7" s="31"/>
      <c r="I7" s="11">
        <v>4430</v>
      </c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3"/>
      <c r="B9" s="31"/>
      <c r="C9" s="31"/>
      <c r="D9" s="31"/>
      <c r="E9" s="5"/>
      <c r="F9" s="31" t="s">
        <v>4</v>
      </c>
      <c r="G9" s="31"/>
      <c r="H9" s="31"/>
      <c r="I9" s="6">
        <v>1230</v>
      </c>
    </row>
    <row r="10" spans="1:9" x14ac:dyDescent="0.35">
      <c r="A10" s="4">
        <v>45434</v>
      </c>
      <c r="B10" s="31" t="s">
        <v>24</v>
      </c>
      <c r="C10" s="31"/>
      <c r="D10" s="31"/>
      <c r="E10" s="5">
        <v>400</v>
      </c>
      <c r="F10" s="31"/>
      <c r="G10" s="31"/>
      <c r="H10" s="31"/>
      <c r="I10" s="6"/>
    </row>
    <row r="11" spans="1:9" x14ac:dyDescent="0.35">
      <c r="A11" s="4">
        <v>45481</v>
      </c>
      <c r="B11" s="31" t="s">
        <v>24</v>
      </c>
      <c r="C11" s="31"/>
      <c r="D11" s="31"/>
      <c r="E11" s="5">
        <v>400</v>
      </c>
      <c r="F11" s="31"/>
      <c r="G11" s="31"/>
      <c r="H11" s="31"/>
      <c r="I11" s="6"/>
    </row>
    <row r="12" spans="1:9" x14ac:dyDescent="0.35">
      <c r="A12" s="3"/>
      <c r="B12" s="31" t="s">
        <v>24</v>
      </c>
      <c r="C12" s="31"/>
      <c r="D12" s="31"/>
      <c r="E12" s="5">
        <v>200</v>
      </c>
      <c r="F12" s="31"/>
      <c r="G12" s="31"/>
      <c r="H12" s="31"/>
      <c r="I12" s="6"/>
    </row>
    <row r="13" spans="1:9" x14ac:dyDescent="0.35">
      <c r="A13" s="4">
        <v>45540</v>
      </c>
      <c r="B13" s="31" t="s">
        <v>24</v>
      </c>
      <c r="C13" s="31"/>
      <c r="D13" s="31"/>
      <c r="E13" s="5">
        <v>100</v>
      </c>
      <c r="F13" s="31"/>
      <c r="G13" s="31"/>
      <c r="H13" s="31"/>
      <c r="I13" s="6"/>
    </row>
    <row r="14" spans="1:9" x14ac:dyDescent="0.35">
      <c r="A14" s="3"/>
      <c r="B14" s="31" t="s">
        <v>4</v>
      </c>
      <c r="C14" s="31"/>
      <c r="D14" s="31"/>
      <c r="E14" s="5">
        <v>130</v>
      </c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2">
        <v>1230</v>
      </c>
      <c r="F15" s="31"/>
      <c r="G15" s="31"/>
      <c r="H15" s="31"/>
      <c r="I15" s="11">
        <v>1230</v>
      </c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13" x14ac:dyDescent="0.35">
      <c r="A17" s="4">
        <v>45540</v>
      </c>
      <c r="B17" s="31"/>
      <c r="C17" s="31"/>
      <c r="D17" s="31"/>
      <c r="E17" s="5"/>
      <c r="F17" s="31" t="s">
        <v>136</v>
      </c>
      <c r="G17" s="31"/>
      <c r="H17" s="31"/>
      <c r="I17" s="6">
        <v>130</v>
      </c>
    </row>
    <row r="18" spans="1:13" x14ac:dyDescent="0.35">
      <c r="A18" s="4">
        <v>45584</v>
      </c>
      <c r="B18" s="31" t="s">
        <v>19</v>
      </c>
      <c r="C18" s="31"/>
      <c r="D18" s="31"/>
      <c r="E18" s="5"/>
      <c r="F18" s="31" t="s">
        <v>77</v>
      </c>
      <c r="G18" s="31"/>
      <c r="H18" s="31"/>
      <c r="I18" s="6">
        <v>2900</v>
      </c>
    </row>
    <row r="19" spans="1:13" x14ac:dyDescent="0.35">
      <c r="A19" s="14">
        <v>45584</v>
      </c>
      <c r="B19" s="31" t="s">
        <v>24</v>
      </c>
      <c r="C19" s="31"/>
      <c r="D19" s="31"/>
      <c r="E19" s="5">
        <v>200</v>
      </c>
      <c r="F19" s="31" t="s">
        <v>78</v>
      </c>
      <c r="G19" s="31"/>
      <c r="H19" s="31"/>
      <c r="I19" s="6">
        <v>250</v>
      </c>
    </row>
    <row r="20" spans="1:13" x14ac:dyDescent="0.35">
      <c r="A20" s="14">
        <v>45587</v>
      </c>
      <c r="B20" s="31" t="s">
        <v>24</v>
      </c>
      <c r="C20" s="31"/>
      <c r="D20" s="31"/>
      <c r="E20" s="5">
        <v>200</v>
      </c>
      <c r="F20" s="31"/>
      <c r="G20" s="31"/>
      <c r="H20" s="31"/>
      <c r="I20" s="6"/>
    </row>
    <row r="21" spans="1:13" x14ac:dyDescent="0.35">
      <c r="A21" s="14">
        <v>45610</v>
      </c>
      <c r="B21" s="31" t="s">
        <v>24</v>
      </c>
      <c r="C21" s="31"/>
      <c r="D21" s="31"/>
      <c r="E21" s="5">
        <v>900</v>
      </c>
      <c r="F21" s="31"/>
      <c r="G21" s="31"/>
      <c r="H21" s="31"/>
      <c r="I21" s="6"/>
    </row>
    <row r="22" spans="1:13" x14ac:dyDescent="0.35">
      <c r="A22" s="14">
        <v>45622</v>
      </c>
      <c r="B22" s="31" t="s">
        <v>24</v>
      </c>
      <c r="C22" s="31"/>
      <c r="D22" s="31"/>
      <c r="E22" s="5">
        <v>900</v>
      </c>
      <c r="F22" s="31"/>
      <c r="G22" s="31"/>
      <c r="H22" s="31"/>
      <c r="I22" s="6"/>
    </row>
    <row r="23" spans="1:13" x14ac:dyDescent="0.35">
      <c r="A23" s="14">
        <v>45638</v>
      </c>
      <c r="B23" s="31" t="s">
        <v>24</v>
      </c>
      <c r="C23" s="31"/>
      <c r="D23" s="31"/>
      <c r="E23" s="5">
        <v>300</v>
      </c>
      <c r="F23" s="31"/>
      <c r="G23" s="31"/>
      <c r="H23" s="31"/>
      <c r="I23" s="6"/>
    </row>
    <row r="24" spans="1:13" x14ac:dyDescent="0.35">
      <c r="A24" s="4">
        <v>45701</v>
      </c>
      <c r="B24" s="31" t="s">
        <v>24</v>
      </c>
      <c r="C24" s="31"/>
      <c r="D24" s="31"/>
      <c r="E24" s="5">
        <v>450</v>
      </c>
      <c r="F24" s="31"/>
      <c r="G24" s="31"/>
      <c r="H24" s="31"/>
      <c r="I24" s="6"/>
    </row>
    <row r="25" spans="1:13" x14ac:dyDescent="0.35">
      <c r="A25" s="4">
        <v>45712</v>
      </c>
      <c r="B25" s="31"/>
      <c r="C25" s="31"/>
      <c r="D25" s="31"/>
      <c r="E25" s="5"/>
      <c r="F25" s="31" t="s">
        <v>145</v>
      </c>
      <c r="G25" s="31"/>
      <c r="H25" s="31"/>
      <c r="I25" s="6">
        <v>110</v>
      </c>
      <c r="M25" s="9">
        <f>SUM(E19:E26)</f>
        <v>3010</v>
      </c>
    </row>
    <row r="26" spans="1:13" x14ac:dyDescent="0.35">
      <c r="A26" s="4"/>
      <c r="B26" s="31" t="s">
        <v>184</v>
      </c>
      <c r="C26" s="31"/>
      <c r="D26" s="31"/>
      <c r="E26" s="5">
        <v>60</v>
      </c>
      <c r="F26" s="31"/>
      <c r="G26" s="31"/>
      <c r="H26" s="31"/>
      <c r="I26" s="6"/>
      <c r="M26" s="9"/>
    </row>
    <row r="27" spans="1:13" x14ac:dyDescent="0.35">
      <c r="A27" s="3"/>
      <c r="B27" s="31" t="s">
        <v>29</v>
      </c>
      <c r="C27" s="31"/>
      <c r="D27" s="31"/>
      <c r="E27" s="5">
        <f>E28-M25</f>
        <v>380</v>
      </c>
      <c r="F27" s="31"/>
      <c r="G27" s="31"/>
      <c r="H27" s="31"/>
      <c r="I27" s="6"/>
    </row>
    <row r="28" spans="1:13" ht="15.5" x14ac:dyDescent="0.45">
      <c r="A28" s="3"/>
      <c r="B28" s="31"/>
      <c r="C28" s="31"/>
      <c r="D28" s="31"/>
      <c r="E28" s="12">
        <v>3390</v>
      </c>
      <c r="F28" s="31"/>
      <c r="G28" s="31"/>
      <c r="H28" s="31"/>
      <c r="I28" s="11">
        <f>SUM(I17:I25)</f>
        <v>3390</v>
      </c>
    </row>
    <row r="29" spans="1:13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13" x14ac:dyDescent="0.35">
      <c r="A30" s="3"/>
      <c r="B30" s="31"/>
      <c r="C30" s="31"/>
      <c r="D30" s="31"/>
      <c r="E30" s="5"/>
      <c r="F30" s="31" t="s">
        <v>4</v>
      </c>
      <c r="G30" s="31"/>
      <c r="H30" s="31"/>
      <c r="I30" s="15">
        <v>380</v>
      </c>
    </row>
    <row r="31" spans="1:13" x14ac:dyDescent="0.35">
      <c r="A31" s="4">
        <v>45744</v>
      </c>
      <c r="B31" s="31"/>
      <c r="C31" s="31"/>
      <c r="D31" s="31"/>
      <c r="E31" s="5"/>
      <c r="F31" s="31" t="s">
        <v>185</v>
      </c>
      <c r="G31" s="31"/>
      <c r="H31" s="31"/>
      <c r="I31" s="6">
        <v>3070</v>
      </c>
    </row>
    <row r="32" spans="1:13" x14ac:dyDescent="0.35">
      <c r="A32" s="4">
        <v>45744</v>
      </c>
      <c r="B32" s="31" t="s">
        <v>222</v>
      </c>
      <c r="C32" s="31"/>
      <c r="D32" s="31"/>
      <c r="E32" s="5">
        <v>795</v>
      </c>
      <c r="F32" s="31"/>
      <c r="G32" s="31"/>
      <c r="H32" s="31"/>
      <c r="I32" s="6"/>
    </row>
    <row r="33" spans="1:11" x14ac:dyDescent="0.35">
      <c r="A33" s="4">
        <v>45722</v>
      </c>
      <c r="B33" s="31" t="s">
        <v>222</v>
      </c>
      <c r="C33" s="31"/>
      <c r="D33" s="31"/>
      <c r="E33" s="5">
        <v>1000</v>
      </c>
      <c r="F33" s="31"/>
      <c r="G33" s="31"/>
      <c r="H33" s="31"/>
      <c r="I33" s="6"/>
    </row>
    <row r="34" spans="1:11" x14ac:dyDescent="0.35">
      <c r="A34" s="4">
        <v>45766</v>
      </c>
      <c r="B34" s="31" t="s">
        <v>222</v>
      </c>
      <c r="C34" s="31"/>
      <c r="D34" s="31"/>
      <c r="E34" s="5">
        <v>1000</v>
      </c>
      <c r="F34" s="31"/>
      <c r="G34" s="31"/>
      <c r="H34" s="31"/>
      <c r="I34" s="6"/>
    </row>
    <row r="35" spans="1:11" x14ac:dyDescent="0.35">
      <c r="A35" s="4">
        <v>45769</v>
      </c>
      <c r="B35" s="31"/>
      <c r="C35" s="31"/>
      <c r="D35" s="31"/>
      <c r="E35" s="5"/>
      <c r="F35" s="31" t="s">
        <v>223</v>
      </c>
      <c r="G35" s="31"/>
      <c r="H35" s="31"/>
      <c r="I35" s="6">
        <v>3800</v>
      </c>
    </row>
    <row r="36" spans="1:11" x14ac:dyDescent="0.35">
      <c r="A36" s="4">
        <v>45785</v>
      </c>
      <c r="B36" s="31" t="s">
        <v>221</v>
      </c>
      <c r="C36" s="31"/>
      <c r="D36" s="31"/>
      <c r="E36" s="5">
        <v>500</v>
      </c>
      <c r="F36" s="31"/>
      <c r="G36" s="31"/>
      <c r="H36" s="31"/>
      <c r="I36" s="6"/>
    </row>
    <row r="37" spans="1:11" x14ac:dyDescent="0.35">
      <c r="A37" s="4">
        <v>45786</v>
      </c>
      <c r="B37" s="31"/>
      <c r="C37" s="31"/>
      <c r="D37" s="31"/>
      <c r="E37" s="5"/>
      <c r="F37" s="31" t="s">
        <v>207</v>
      </c>
      <c r="G37" s="31"/>
      <c r="H37" s="31"/>
      <c r="I37" s="6">
        <v>150</v>
      </c>
    </row>
    <row r="38" spans="1:11" x14ac:dyDescent="0.35">
      <c r="A38" s="3"/>
      <c r="B38" s="31"/>
      <c r="C38" s="31"/>
      <c r="D38" s="31"/>
      <c r="E38" s="5"/>
      <c r="F38" s="31" t="s">
        <v>208</v>
      </c>
      <c r="G38" s="31"/>
      <c r="H38" s="31"/>
      <c r="I38" s="6">
        <v>40</v>
      </c>
    </row>
    <row r="39" spans="1:11" x14ac:dyDescent="0.35">
      <c r="A39" s="3"/>
      <c r="B39" s="31"/>
      <c r="C39" s="31"/>
      <c r="D39" s="31"/>
      <c r="E39" s="5"/>
      <c r="F39" s="31" t="s">
        <v>209</v>
      </c>
      <c r="G39" s="31"/>
      <c r="H39" s="31"/>
      <c r="I39" s="6">
        <v>50</v>
      </c>
      <c r="K39" s="9"/>
    </row>
    <row r="40" spans="1:11" x14ac:dyDescent="0.35">
      <c r="A40" s="4">
        <v>45786</v>
      </c>
      <c r="B40" s="31" t="s">
        <v>224</v>
      </c>
      <c r="C40" s="31"/>
      <c r="D40" s="31"/>
      <c r="E40" s="5">
        <v>190</v>
      </c>
      <c r="F40" s="31"/>
      <c r="G40" s="31"/>
      <c r="H40" s="31"/>
      <c r="I40" s="6"/>
    </row>
    <row r="41" spans="1:11" ht="15.5" x14ac:dyDescent="0.45">
      <c r="A41" s="4">
        <v>45787</v>
      </c>
      <c r="B41" s="31" t="s">
        <v>21</v>
      </c>
      <c r="C41" s="31"/>
      <c r="D41" s="31"/>
      <c r="E41" s="5">
        <v>500</v>
      </c>
      <c r="F41" s="31"/>
      <c r="G41" s="31"/>
      <c r="H41" s="31"/>
      <c r="I41" s="11"/>
    </row>
    <row r="42" spans="1:11" x14ac:dyDescent="0.35">
      <c r="A42" s="4">
        <v>45798</v>
      </c>
      <c r="B42" s="31" t="s">
        <v>21</v>
      </c>
      <c r="C42" s="31"/>
      <c r="D42" s="31"/>
      <c r="E42" s="5">
        <v>500</v>
      </c>
      <c r="F42" s="31"/>
      <c r="G42" s="31"/>
      <c r="H42" s="31"/>
      <c r="I42" s="6"/>
    </row>
    <row r="43" spans="1:11" x14ac:dyDescent="0.35">
      <c r="A43" s="4">
        <v>45816</v>
      </c>
      <c r="B43" s="31"/>
      <c r="C43" s="31"/>
      <c r="D43" s="31"/>
      <c r="E43" s="5">
        <f>E44-K43</f>
        <v>3005</v>
      </c>
      <c r="F43" s="31"/>
      <c r="G43" s="31"/>
      <c r="H43" s="31"/>
      <c r="I43" s="6"/>
      <c r="K43" s="9">
        <f>SUM(E32:E42)</f>
        <v>4485</v>
      </c>
    </row>
    <row r="44" spans="1:11" ht="15.5" x14ac:dyDescent="0.45">
      <c r="A44" s="3"/>
      <c r="B44" s="31"/>
      <c r="C44" s="31"/>
      <c r="D44" s="31"/>
      <c r="E44" s="12">
        <f>I44</f>
        <v>7490</v>
      </c>
      <c r="F44" s="31"/>
      <c r="G44" s="31"/>
      <c r="H44" s="31"/>
      <c r="I44" s="11">
        <f>SUM(I30:I42)</f>
        <v>7490</v>
      </c>
    </row>
    <row r="45" spans="1:11" x14ac:dyDescent="0.35">
      <c r="A45" s="3"/>
      <c r="B45" s="31"/>
      <c r="C45" s="31"/>
      <c r="D45" s="31"/>
      <c r="E45" s="5"/>
      <c r="F45" s="31"/>
      <c r="G45" s="31"/>
      <c r="H45" s="31"/>
      <c r="I45" s="6"/>
    </row>
    <row r="46" spans="1:11" x14ac:dyDescent="0.35">
      <c r="A46" s="4">
        <v>45817</v>
      </c>
      <c r="B46" s="31"/>
      <c r="C46" s="31"/>
      <c r="D46" s="31"/>
      <c r="E46" s="5"/>
      <c r="F46" s="42" t="s">
        <v>126</v>
      </c>
      <c r="G46" s="42"/>
      <c r="H46" s="42"/>
      <c r="I46" s="15">
        <v>3005</v>
      </c>
    </row>
    <row r="47" spans="1:11" x14ac:dyDescent="0.35">
      <c r="A47" s="4">
        <v>45819</v>
      </c>
      <c r="B47" s="31" t="s">
        <v>21</v>
      </c>
      <c r="C47" s="31"/>
      <c r="D47" s="31"/>
      <c r="E47" s="5">
        <v>400</v>
      </c>
      <c r="F47" s="31"/>
      <c r="G47" s="31"/>
      <c r="H47" s="31"/>
      <c r="I47" s="6"/>
    </row>
    <row r="48" spans="1:11" x14ac:dyDescent="0.35">
      <c r="A48" s="4">
        <v>45831</v>
      </c>
      <c r="B48" s="31" t="s">
        <v>21</v>
      </c>
      <c r="C48" s="31"/>
      <c r="D48" s="31"/>
      <c r="E48" s="5">
        <v>600</v>
      </c>
      <c r="F48" s="31"/>
      <c r="G48" s="31"/>
      <c r="H48" s="31"/>
      <c r="I48" s="6"/>
    </row>
    <row r="49" spans="1:11" x14ac:dyDescent="0.35">
      <c r="A49" s="4">
        <v>45831</v>
      </c>
      <c r="B49" s="31"/>
      <c r="C49" s="31"/>
      <c r="D49" s="31"/>
      <c r="E49" s="5"/>
      <c r="F49" s="31" t="s">
        <v>230</v>
      </c>
      <c r="G49" s="31"/>
      <c r="H49" s="31"/>
      <c r="I49" s="6">
        <v>400</v>
      </c>
    </row>
    <row r="50" spans="1:11" x14ac:dyDescent="0.35">
      <c r="A50" s="3"/>
      <c r="B50" s="31"/>
      <c r="C50" s="31"/>
      <c r="D50" s="31"/>
      <c r="E50" s="5"/>
      <c r="F50" s="31" t="s">
        <v>231</v>
      </c>
      <c r="G50" s="31"/>
      <c r="H50" s="31"/>
      <c r="I50" s="6">
        <v>250</v>
      </c>
    </row>
    <row r="51" spans="1:11" x14ac:dyDescent="0.35">
      <c r="A51" s="3"/>
      <c r="B51" s="31"/>
      <c r="C51" s="31"/>
      <c r="D51" s="31"/>
      <c r="E51" s="5"/>
      <c r="F51" s="31" t="s">
        <v>232</v>
      </c>
      <c r="G51" s="31"/>
      <c r="H51" s="31"/>
      <c r="I51" s="6">
        <v>0</v>
      </c>
    </row>
    <row r="52" spans="1:11" x14ac:dyDescent="0.35">
      <c r="A52" s="3"/>
      <c r="B52" s="31" t="s">
        <v>239</v>
      </c>
      <c r="C52" s="31"/>
      <c r="D52" s="31"/>
      <c r="E52" s="5">
        <v>1000</v>
      </c>
      <c r="F52" s="31"/>
      <c r="G52" s="31"/>
      <c r="H52" s="31"/>
      <c r="I52" s="6"/>
    </row>
    <row r="53" spans="1:11" x14ac:dyDescent="0.35">
      <c r="A53" s="3"/>
      <c r="B53" s="31" t="s">
        <v>29</v>
      </c>
      <c r="C53" s="31"/>
      <c r="D53" s="31"/>
      <c r="E53" s="5">
        <f>E54-K53</f>
        <v>1655</v>
      </c>
      <c r="F53" s="31"/>
      <c r="G53" s="31"/>
      <c r="H53" s="31"/>
      <c r="I53" s="6"/>
      <c r="K53" s="9">
        <f>SUM(E47:E52)</f>
        <v>2000</v>
      </c>
    </row>
    <row r="54" spans="1:11" ht="15.5" x14ac:dyDescent="0.45">
      <c r="A54" s="3"/>
      <c r="B54" s="31"/>
      <c r="C54" s="31"/>
      <c r="D54" s="31"/>
      <c r="E54" s="12">
        <f>I54</f>
        <v>3655</v>
      </c>
      <c r="F54" s="31"/>
      <c r="G54" s="31"/>
      <c r="H54" s="31"/>
      <c r="I54" s="11">
        <f>SUM(I46:I51)</f>
        <v>3655</v>
      </c>
    </row>
    <row r="55" spans="1:11" x14ac:dyDescent="0.35">
      <c r="A55" s="3"/>
      <c r="B55" s="31"/>
      <c r="C55" s="31"/>
      <c r="D55" s="31"/>
      <c r="E55" s="5"/>
      <c r="F55" s="31"/>
      <c r="G55" s="31"/>
      <c r="H55" s="31"/>
      <c r="I55" s="6"/>
    </row>
    <row r="56" spans="1:11" x14ac:dyDescent="0.35">
      <c r="A56" s="3"/>
      <c r="B56" s="31"/>
      <c r="C56" s="31"/>
      <c r="D56" s="31"/>
      <c r="E56" s="5"/>
      <c r="F56" s="42" t="s">
        <v>4</v>
      </c>
      <c r="G56" s="42"/>
      <c r="H56" s="42"/>
      <c r="I56" s="15">
        <v>1655</v>
      </c>
    </row>
    <row r="57" spans="1:11" x14ac:dyDescent="0.35">
      <c r="A57" s="4">
        <v>45889</v>
      </c>
      <c r="B57" s="31"/>
      <c r="C57" s="31"/>
      <c r="D57" s="31"/>
      <c r="E57" s="5"/>
      <c r="F57" s="31" t="s">
        <v>242</v>
      </c>
      <c r="G57" s="31"/>
      <c r="H57" s="31"/>
      <c r="I57" s="6">
        <v>50</v>
      </c>
    </row>
    <row r="58" spans="1:11" x14ac:dyDescent="0.35">
      <c r="A58" s="3"/>
      <c r="B58" s="31" t="s">
        <v>67</v>
      </c>
      <c r="C58" s="31"/>
      <c r="D58" s="31"/>
      <c r="E58" s="5">
        <v>50</v>
      </c>
      <c r="F58" s="31" t="s">
        <v>19</v>
      </c>
      <c r="G58" s="31"/>
      <c r="H58" s="31"/>
      <c r="I58" s="6"/>
    </row>
    <row r="59" spans="1:11" x14ac:dyDescent="0.35">
      <c r="A59" s="3"/>
      <c r="B59" s="31"/>
      <c r="C59" s="31"/>
      <c r="D59" s="31"/>
      <c r="E59" s="5"/>
      <c r="F59" s="31"/>
      <c r="G59" s="31"/>
      <c r="H59" s="31"/>
      <c r="I59" s="6"/>
    </row>
    <row r="60" spans="1:11" x14ac:dyDescent="0.35">
      <c r="A60" s="3"/>
      <c r="B60" s="31"/>
      <c r="C60" s="31"/>
      <c r="D60" s="31"/>
      <c r="E60" s="5"/>
      <c r="F60" s="31"/>
      <c r="G60" s="31"/>
      <c r="H60" s="31"/>
      <c r="I60" s="6"/>
    </row>
    <row r="61" spans="1:11" x14ac:dyDescent="0.35">
      <c r="A61" s="3"/>
      <c r="B61" s="31"/>
      <c r="C61" s="31"/>
      <c r="D61" s="31"/>
      <c r="E61" s="5"/>
      <c r="F61" s="31"/>
      <c r="G61" s="31"/>
      <c r="H61" s="31"/>
      <c r="I61" s="6"/>
    </row>
    <row r="62" spans="1:11" x14ac:dyDescent="0.35">
      <c r="A62" s="3"/>
      <c r="B62" s="31"/>
      <c r="C62" s="31"/>
      <c r="D62" s="31"/>
      <c r="E62" s="5"/>
      <c r="F62" s="31"/>
      <c r="G62" s="31"/>
      <c r="H62" s="31"/>
      <c r="I62" s="6"/>
    </row>
    <row r="63" spans="1:11" x14ac:dyDescent="0.35">
      <c r="A63" s="3"/>
      <c r="B63" s="31"/>
      <c r="C63" s="31"/>
      <c r="D63" s="31"/>
      <c r="E63" s="5"/>
      <c r="F63" s="31"/>
      <c r="G63" s="31"/>
      <c r="H63" s="31"/>
      <c r="I63" s="6"/>
    </row>
    <row r="64" spans="1:11" x14ac:dyDescent="0.35">
      <c r="A64" s="3"/>
      <c r="B64" s="31"/>
      <c r="C64" s="31"/>
      <c r="D64" s="31"/>
      <c r="E64" s="5"/>
      <c r="F64" s="31"/>
      <c r="G64" s="31"/>
      <c r="H64" s="31"/>
      <c r="I64" s="6"/>
    </row>
    <row r="65" spans="1:9" x14ac:dyDescent="0.35">
      <c r="A65" s="3"/>
      <c r="B65" s="31"/>
      <c r="C65" s="31"/>
      <c r="D65" s="31"/>
      <c r="E65" s="5"/>
      <c r="F65" s="31"/>
      <c r="G65" s="31"/>
      <c r="H65" s="31"/>
      <c r="I65" s="6"/>
    </row>
    <row r="66" spans="1:9" x14ac:dyDescent="0.35">
      <c r="A66" s="3"/>
      <c r="B66" s="31"/>
      <c r="C66" s="31"/>
      <c r="D66" s="31"/>
      <c r="E66" s="5"/>
      <c r="F66" s="31"/>
      <c r="G66" s="31"/>
      <c r="H66" s="31"/>
      <c r="I66" s="6"/>
    </row>
    <row r="67" spans="1:9" x14ac:dyDescent="0.35">
      <c r="A67" s="3"/>
      <c r="B67" s="31"/>
      <c r="C67" s="31"/>
      <c r="D67" s="31"/>
      <c r="E67" s="5"/>
      <c r="F67" s="31"/>
      <c r="G67" s="31"/>
      <c r="H67" s="31"/>
      <c r="I67" s="6"/>
    </row>
    <row r="68" spans="1:9" x14ac:dyDescent="0.35">
      <c r="A68" s="3"/>
      <c r="B68" s="31"/>
      <c r="C68" s="31"/>
      <c r="D68" s="31"/>
      <c r="E68" s="5"/>
      <c r="F68" s="31"/>
      <c r="G68" s="31"/>
      <c r="H68" s="31"/>
      <c r="I68" s="6"/>
    </row>
    <row r="69" spans="1:9" x14ac:dyDescent="0.35">
      <c r="A69" s="3"/>
      <c r="B69" s="31"/>
      <c r="C69" s="31"/>
      <c r="D69" s="31"/>
      <c r="E69" s="5"/>
      <c r="F69" s="31"/>
      <c r="G69" s="31"/>
      <c r="H69" s="31"/>
      <c r="I69" s="6"/>
    </row>
    <row r="70" spans="1:9" x14ac:dyDescent="0.35">
      <c r="A70" s="3"/>
      <c r="B70" s="31"/>
      <c r="C70" s="31"/>
      <c r="D70" s="31"/>
      <c r="E70" s="5"/>
      <c r="F70" s="31"/>
      <c r="G70" s="31"/>
      <c r="H70" s="31"/>
      <c r="I70" s="6"/>
    </row>
    <row r="71" spans="1:9" x14ac:dyDescent="0.35">
      <c r="A71" s="3"/>
      <c r="B71" s="31"/>
      <c r="C71" s="31"/>
      <c r="D71" s="31"/>
      <c r="E71" s="5"/>
      <c r="F71" s="31"/>
      <c r="G71" s="31"/>
      <c r="H71" s="31"/>
      <c r="I71" s="6"/>
    </row>
    <row r="72" spans="1:9" x14ac:dyDescent="0.35">
      <c r="A72" s="3"/>
      <c r="B72" s="31"/>
      <c r="C72" s="31"/>
      <c r="D72" s="31"/>
      <c r="E72" s="5"/>
      <c r="F72" s="31"/>
      <c r="G72" s="31"/>
      <c r="H72" s="31"/>
      <c r="I72" s="6"/>
    </row>
    <row r="73" spans="1:9" x14ac:dyDescent="0.35">
      <c r="A73" s="3"/>
      <c r="B73" s="31"/>
      <c r="C73" s="31"/>
      <c r="D73" s="31"/>
      <c r="E73" s="5"/>
      <c r="F73" s="31"/>
      <c r="G73" s="31"/>
      <c r="H73" s="31"/>
      <c r="I73" s="6"/>
    </row>
    <row r="74" spans="1:9" x14ac:dyDescent="0.35">
      <c r="A74" s="3"/>
      <c r="B74" s="31"/>
      <c r="C74" s="31"/>
      <c r="D74" s="31"/>
      <c r="E74" s="5"/>
      <c r="F74" s="31"/>
      <c r="G74" s="31"/>
      <c r="H74" s="31"/>
      <c r="I74" s="6"/>
    </row>
    <row r="75" spans="1:9" x14ac:dyDescent="0.35">
      <c r="A75" s="3"/>
      <c r="B75" s="31"/>
      <c r="C75" s="31"/>
      <c r="D75" s="31"/>
      <c r="E75" s="5"/>
      <c r="F75" s="31"/>
      <c r="G75" s="31"/>
      <c r="H75" s="31"/>
      <c r="I75" s="6"/>
    </row>
    <row r="76" spans="1:9" x14ac:dyDescent="0.35">
      <c r="A76" s="3"/>
      <c r="B76" s="31"/>
      <c r="C76" s="31"/>
      <c r="D76" s="31"/>
      <c r="E76" s="5"/>
      <c r="F76" s="31"/>
      <c r="G76" s="31"/>
      <c r="H76" s="31"/>
      <c r="I76" s="6"/>
    </row>
    <row r="77" spans="1:9" x14ac:dyDescent="0.35">
      <c r="A77" s="3"/>
      <c r="B77" s="31"/>
      <c r="C77" s="31"/>
      <c r="D77" s="31"/>
      <c r="E77" s="5"/>
      <c r="F77" s="31"/>
      <c r="G77" s="31"/>
      <c r="H77" s="31"/>
      <c r="I77" s="6"/>
    </row>
    <row r="78" spans="1:9" x14ac:dyDescent="0.35">
      <c r="A78" s="3"/>
      <c r="B78" s="31"/>
      <c r="C78" s="31"/>
      <c r="D78" s="31"/>
      <c r="E78" s="5"/>
      <c r="F78" s="31"/>
      <c r="G78" s="31"/>
      <c r="H78" s="31"/>
      <c r="I78" s="6"/>
    </row>
    <row r="79" spans="1:9" x14ac:dyDescent="0.35">
      <c r="A79" s="3"/>
      <c r="B79" s="31"/>
      <c r="C79" s="31"/>
      <c r="D79" s="31"/>
      <c r="E79" s="5"/>
      <c r="F79" s="31"/>
      <c r="G79" s="31"/>
      <c r="H79" s="31"/>
      <c r="I79" s="6"/>
    </row>
    <row r="80" spans="1:9" x14ac:dyDescent="0.35">
      <c r="A80" s="3"/>
      <c r="B80" s="31"/>
      <c r="C80" s="31"/>
      <c r="D80" s="31"/>
      <c r="E80" s="5"/>
      <c r="F80" s="31"/>
      <c r="G80" s="31"/>
      <c r="H80" s="31"/>
      <c r="I80" s="6"/>
    </row>
    <row r="81" spans="1:9" x14ac:dyDescent="0.35">
      <c r="A81" s="3"/>
      <c r="B81" s="31"/>
      <c r="C81" s="31"/>
      <c r="D81" s="31"/>
      <c r="E81" s="5"/>
      <c r="F81" s="31"/>
      <c r="G81" s="31"/>
      <c r="H81" s="31"/>
      <c r="I81" s="6"/>
    </row>
    <row r="82" spans="1:9" x14ac:dyDescent="0.35">
      <c r="A82" s="3"/>
      <c r="B82" s="31"/>
      <c r="C82" s="31"/>
      <c r="D82" s="31"/>
      <c r="E82" s="5"/>
      <c r="F82" s="31"/>
      <c r="G82" s="31"/>
      <c r="H82" s="31"/>
      <c r="I82" s="6"/>
    </row>
    <row r="83" spans="1:9" x14ac:dyDescent="0.35">
      <c r="A83" s="3"/>
      <c r="B83" s="31"/>
      <c r="C83" s="31"/>
      <c r="D83" s="31"/>
      <c r="E83" s="5"/>
      <c r="F83" s="31"/>
      <c r="G83" s="31"/>
      <c r="H83" s="31"/>
      <c r="I83" s="6"/>
    </row>
    <row r="84" spans="1:9" x14ac:dyDescent="0.35">
      <c r="A84" s="3"/>
      <c r="B84" s="31"/>
      <c r="C84" s="31"/>
      <c r="D84" s="31"/>
      <c r="E84" s="5"/>
      <c r="F84" s="31"/>
      <c r="G84" s="31"/>
      <c r="H84" s="31"/>
      <c r="I84" s="6"/>
    </row>
    <row r="85" spans="1:9" x14ac:dyDescent="0.35">
      <c r="A85" s="3"/>
      <c r="B85" s="31"/>
      <c r="C85" s="31"/>
      <c r="D85" s="31"/>
      <c r="E85" s="5"/>
      <c r="F85" s="31"/>
      <c r="G85" s="31"/>
      <c r="H85" s="31"/>
      <c r="I85" s="6"/>
    </row>
    <row r="86" spans="1:9" x14ac:dyDescent="0.35">
      <c r="A86" s="3"/>
      <c r="B86" s="31"/>
      <c r="C86" s="31"/>
      <c r="D86" s="31"/>
      <c r="E86" s="5"/>
      <c r="F86" s="31"/>
      <c r="G86" s="31"/>
      <c r="H86" s="31"/>
      <c r="I86" s="6"/>
    </row>
    <row r="87" spans="1:9" x14ac:dyDescent="0.35">
      <c r="A87" s="3"/>
      <c r="B87" s="31"/>
      <c r="C87" s="31"/>
      <c r="D87" s="31"/>
      <c r="E87" s="5"/>
      <c r="F87" s="31"/>
      <c r="G87" s="31"/>
      <c r="H87" s="31"/>
      <c r="I87" s="6"/>
    </row>
    <row r="88" spans="1:9" x14ac:dyDescent="0.35">
      <c r="A88" s="3"/>
      <c r="B88" s="31"/>
      <c r="C88" s="31"/>
      <c r="D88" s="31"/>
      <c r="E88" s="5"/>
      <c r="F88" s="31"/>
      <c r="G88" s="31"/>
      <c r="H88" s="31"/>
      <c r="I88" s="6"/>
    </row>
    <row r="89" spans="1:9" x14ac:dyDescent="0.35">
      <c r="A89" s="3"/>
      <c r="B89" s="31"/>
      <c r="C89" s="31"/>
      <c r="D89" s="31"/>
      <c r="E89" s="5"/>
      <c r="F89" s="31"/>
      <c r="G89" s="31"/>
      <c r="H89" s="31"/>
      <c r="I89" s="6"/>
    </row>
    <row r="90" spans="1:9" x14ac:dyDescent="0.35">
      <c r="A90" s="3"/>
      <c r="B90" s="31"/>
      <c r="C90" s="31"/>
      <c r="D90" s="31"/>
      <c r="E90" s="5"/>
      <c r="F90" s="31"/>
      <c r="G90" s="31"/>
      <c r="H90" s="31"/>
      <c r="I90" s="6"/>
    </row>
    <row r="91" spans="1:9" x14ac:dyDescent="0.35">
      <c r="A91" s="3"/>
      <c r="B91" s="31"/>
      <c r="C91" s="31"/>
      <c r="D91" s="31"/>
      <c r="E91" s="5"/>
      <c r="F91" s="31"/>
      <c r="G91" s="31"/>
      <c r="H91" s="31"/>
      <c r="I91" s="6"/>
    </row>
    <row r="92" spans="1:9" x14ac:dyDescent="0.35">
      <c r="A92" s="3"/>
      <c r="B92" s="31"/>
      <c r="C92" s="31"/>
      <c r="D92" s="31"/>
      <c r="E92" s="5"/>
      <c r="F92" s="31"/>
      <c r="G92" s="31"/>
      <c r="H92" s="31"/>
      <c r="I92" s="6"/>
    </row>
    <row r="93" spans="1:9" x14ac:dyDescent="0.35">
      <c r="A93" s="3"/>
      <c r="B93" s="31"/>
      <c r="C93" s="31"/>
      <c r="D93" s="31"/>
      <c r="E93" s="5"/>
      <c r="F93" s="31"/>
      <c r="G93" s="31"/>
      <c r="H93" s="31"/>
      <c r="I93" s="6"/>
    </row>
    <row r="94" spans="1:9" x14ac:dyDescent="0.35">
      <c r="A94" s="3"/>
      <c r="B94" s="31"/>
      <c r="C94" s="31"/>
      <c r="D94" s="31"/>
      <c r="E94" s="5"/>
      <c r="F94" s="31"/>
      <c r="G94" s="31"/>
      <c r="H94" s="31"/>
      <c r="I94" s="6"/>
    </row>
    <row r="95" spans="1:9" x14ac:dyDescent="0.35">
      <c r="A95" s="3"/>
      <c r="B95" s="31"/>
      <c r="C95" s="31"/>
      <c r="D95" s="31"/>
      <c r="E95" s="5"/>
      <c r="F95" s="31"/>
      <c r="G95" s="31"/>
      <c r="H95" s="31"/>
      <c r="I95" s="6"/>
    </row>
    <row r="96" spans="1:9" x14ac:dyDescent="0.35">
      <c r="A96" s="3"/>
      <c r="B96" s="31"/>
      <c r="C96" s="31"/>
      <c r="D96" s="31"/>
      <c r="E96" s="5"/>
      <c r="F96" s="31"/>
      <c r="G96" s="31"/>
      <c r="H96" s="31"/>
      <c r="I96" s="6"/>
    </row>
    <row r="97" spans="1:9" x14ac:dyDescent="0.35">
      <c r="A97" s="3"/>
      <c r="B97" s="31"/>
      <c r="C97" s="31"/>
      <c r="D97" s="31"/>
      <c r="E97" s="5"/>
      <c r="F97" s="31"/>
      <c r="G97" s="31"/>
      <c r="H97" s="31"/>
      <c r="I97" s="6"/>
    </row>
    <row r="98" spans="1:9" x14ac:dyDescent="0.35">
      <c r="A98" s="3"/>
      <c r="B98" s="31"/>
      <c r="C98" s="31"/>
      <c r="D98" s="31"/>
      <c r="E98" s="5"/>
      <c r="F98" s="31"/>
      <c r="G98" s="31"/>
      <c r="H98" s="31"/>
      <c r="I98" s="6"/>
    </row>
    <row r="99" spans="1:9" x14ac:dyDescent="0.35">
      <c r="A99" s="3"/>
      <c r="B99" s="31"/>
      <c r="C99" s="31"/>
      <c r="D99" s="31"/>
      <c r="E99" s="5"/>
      <c r="F99" s="31"/>
      <c r="G99" s="31"/>
      <c r="H99" s="31"/>
      <c r="I99" s="6"/>
    </row>
    <row r="100" spans="1:9" x14ac:dyDescent="0.35">
      <c r="A100" s="3"/>
      <c r="B100" s="31"/>
      <c r="C100" s="31"/>
      <c r="D100" s="31"/>
      <c r="E100" s="5"/>
      <c r="F100" s="31"/>
      <c r="G100" s="31"/>
      <c r="H100" s="31"/>
      <c r="I100" s="6"/>
    </row>
    <row r="101" spans="1:9" x14ac:dyDescent="0.35">
      <c r="A101" s="3"/>
      <c r="B101" s="31"/>
      <c r="C101" s="31"/>
      <c r="D101" s="31"/>
      <c r="E101" s="5"/>
      <c r="F101" s="31"/>
      <c r="G101" s="31"/>
      <c r="H101" s="31"/>
      <c r="I101" s="6"/>
    </row>
    <row r="102" spans="1:9" x14ac:dyDescent="0.35">
      <c r="A102" s="3"/>
      <c r="B102" s="31"/>
      <c r="C102" s="31"/>
      <c r="D102" s="31"/>
      <c r="E102" s="5"/>
      <c r="F102" s="31"/>
      <c r="G102" s="31"/>
      <c r="H102" s="31"/>
      <c r="I102" s="6"/>
    </row>
    <row r="103" spans="1:9" x14ac:dyDescent="0.35">
      <c r="A103" s="3"/>
      <c r="B103" s="31"/>
      <c r="C103" s="31"/>
      <c r="D103" s="31"/>
      <c r="E103" s="5"/>
      <c r="F103" s="31"/>
      <c r="G103" s="31"/>
      <c r="H103" s="31"/>
      <c r="I103" s="6"/>
    </row>
    <row r="104" spans="1:9" x14ac:dyDescent="0.35">
      <c r="A104" s="3"/>
      <c r="B104" s="31"/>
      <c r="C104" s="31"/>
      <c r="D104" s="31"/>
      <c r="E104" s="5"/>
      <c r="F104" s="31"/>
      <c r="G104" s="31"/>
      <c r="H104" s="31"/>
      <c r="I104" s="6"/>
    </row>
    <row r="105" spans="1:9" x14ac:dyDescent="0.35">
      <c r="A105" s="3"/>
      <c r="B105" s="31"/>
      <c r="C105" s="31"/>
      <c r="D105" s="31"/>
      <c r="E105" s="5"/>
      <c r="F105" s="31"/>
      <c r="G105" s="31"/>
      <c r="H105" s="31"/>
      <c r="I105" s="6"/>
    </row>
    <row r="106" spans="1:9" x14ac:dyDescent="0.35">
      <c r="A106" s="3"/>
      <c r="B106" s="31"/>
      <c r="C106" s="31"/>
      <c r="D106" s="31"/>
      <c r="E106" s="5"/>
      <c r="F106" s="31"/>
      <c r="G106" s="31"/>
      <c r="H106" s="31"/>
      <c r="I106" s="6"/>
    </row>
    <row r="107" spans="1:9" x14ac:dyDescent="0.35">
      <c r="A107" s="3"/>
      <c r="B107" s="31"/>
      <c r="C107" s="31"/>
      <c r="D107" s="31"/>
      <c r="E107" s="5"/>
      <c r="F107" s="31"/>
      <c r="G107" s="31"/>
      <c r="H107" s="31"/>
      <c r="I107" s="6"/>
    </row>
    <row r="108" spans="1:9" x14ac:dyDescent="0.35">
      <c r="A108" s="3"/>
      <c r="B108" s="31"/>
      <c r="C108" s="31"/>
      <c r="D108" s="31"/>
      <c r="E108" s="5"/>
      <c r="F108" s="31"/>
      <c r="G108" s="31"/>
      <c r="H108" s="31"/>
      <c r="I108" s="6"/>
    </row>
    <row r="109" spans="1:9" x14ac:dyDescent="0.35">
      <c r="A109" s="3"/>
      <c r="B109" s="31"/>
      <c r="C109" s="31"/>
      <c r="D109" s="31"/>
      <c r="E109" s="5"/>
      <c r="F109" s="31"/>
      <c r="G109" s="31"/>
      <c r="H109" s="31"/>
      <c r="I109" s="6"/>
    </row>
    <row r="110" spans="1:9" x14ac:dyDescent="0.35">
      <c r="A110" s="3"/>
      <c r="B110" s="31"/>
      <c r="C110" s="31"/>
      <c r="D110" s="31"/>
      <c r="E110" s="5"/>
      <c r="F110" s="31"/>
      <c r="G110" s="31"/>
      <c r="H110" s="31"/>
      <c r="I110" s="6"/>
    </row>
    <row r="111" spans="1:9" x14ac:dyDescent="0.35">
      <c r="A111" s="3"/>
      <c r="B111" s="31"/>
      <c r="C111" s="31"/>
      <c r="D111" s="31"/>
      <c r="E111" s="5"/>
      <c r="F111" s="31"/>
      <c r="G111" s="31"/>
      <c r="H111" s="31"/>
      <c r="I111" s="6"/>
    </row>
    <row r="112" spans="1:9" x14ac:dyDescent="0.35">
      <c r="A112" s="3"/>
      <c r="B112" s="31"/>
      <c r="C112" s="31"/>
      <c r="D112" s="31"/>
      <c r="E112" s="5"/>
      <c r="F112" s="31"/>
      <c r="G112" s="31"/>
      <c r="H112" s="31"/>
      <c r="I112" s="6"/>
    </row>
    <row r="113" spans="1:9" x14ac:dyDescent="0.35">
      <c r="A113" s="3"/>
      <c r="B113" s="31"/>
      <c r="C113" s="31"/>
      <c r="D113" s="31"/>
      <c r="E113" s="5"/>
      <c r="F113" s="31"/>
      <c r="G113" s="31"/>
      <c r="H113" s="31"/>
      <c r="I113" s="6"/>
    </row>
    <row r="114" spans="1:9" x14ac:dyDescent="0.35">
      <c r="A114" s="3"/>
      <c r="B114" s="31"/>
      <c r="C114" s="31"/>
      <c r="D114" s="31"/>
      <c r="E114" s="5"/>
      <c r="F114" s="31"/>
      <c r="G114" s="31"/>
      <c r="H114" s="31"/>
      <c r="I114" s="6"/>
    </row>
    <row r="115" spans="1:9" x14ac:dyDescent="0.35">
      <c r="A115" s="3"/>
      <c r="B115" s="31"/>
      <c r="C115" s="31"/>
      <c r="D115" s="31"/>
      <c r="E115" s="5"/>
      <c r="F115" s="31"/>
      <c r="G115" s="31"/>
      <c r="H115" s="31"/>
      <c r="I115" s="6"/>
    </row>
    <row r="116" spans="1:9" x14ac:dyDescent="0.35">
      <c r="A116" s="3"/>
      <c r="B116" s="31"/>
      <c r="C116" s="31"/>
      <c r="D116" s="31"/>
      <c r="E116" s="5"/>
      <c r="F116" s="31"/>
      <c r="G116" s="31"/>
      <c r="H116" s="31"/>
      <c r="I116" s="6"/>
    </row>
    <row r="117" spans="1:9" x14ac:dyDescent="0.35">
      <c r="A117" s="3"/>
      <c r="B117" s="31"/>
      <c r="C117" s="31"/>
      <c r="D117" s="31"/>
      <c r="E117" s="5"/>
      <c r="F117" s="31"/>
      <c r="G117" s="31"/>
      <c r="H117" s="31"/>
      <c r="I117" s="6"/>
    </row>
    <row r="118" spans="1:9" x14ac:dyDescent="0.35">
      <c r="A118" s="3"/>
      <c r="B118" s="31"/>
      <c r="C118" s="31"/>
      <c r="D118" s="31"/>
      <c r="E118" s="5"/>
      <c r="F118" s="31"/>
      <c r="G118" s="31"/>
      <c r="H118" s="31"/>
      <c r="I118" s="6"/>
    </row>
    <row r="119" spans="1:9" x14ac:dyDescent="0.35">
      <c r="A119" s="3"/>
      <c r="B119" s="31"/>
      <c r="C119" s="31"/>
      <c r="D119" s="31"/>
      <c r="E119" s="5"/>
      <c r="F119" s="31"/>
      <c r="G119" s="31"/>
      <c r="H119" s="31"/>
      <c r="I119" s="6"/>
    </row>
    <row r="120" spans="1:9" x14ac:dyDescent="0.35">
      <c r="A120" s="3"/>
      <c r="B120" s="31"/>
      <c r="C120" s="31"/>
      <c r="D120" s="31"/>
      <c r="E120" s="5"/>
      <c r="F120" s="31"/>
      <c r="G120" s="31"/>
      <c r="H120" s="31"/>
      <c r="I120" s="6"/>
    </row>
    <row r="121" spans="1:9" x14ac:dyDescent="0.35">
      <c r="A121" s="3"/>
      <c r="B121" s="31"/>
      <c r="C121" s="31"/>
      <c r="D121" s="31"/>
      <c r="E121" s="5"/>
      <c r="F121" s="31"/>
      <c r="G121" s="31"/>
      <c r="H121" s="31"/>
      <c r="I121" s="6"/>
    </row>
    <row r="122" spans="1:9" x14ac:dyDescent="0.35">
      <c r="A122" s="3"/>
      <c r="B122" s="31"/>
      <c r="C122" s="31"/>
      <c r="D122" s="31"/>
      <c r="E122" s="5"/>
      <c r="F122" s="31"/>
      <c r="G122" s="31"/>
      <c r="H122" s="31"/>
      <c r="I122" s="6"/>
    </row>
    <row r="123" spans="1:9" x14ac:dyDescent="0.35">
      <c r="A123" s="3"/>
      <c r="B123" s="31"/>
      <c r="C123" s="31"/>
      <c r="D123" s="31"/>
      <c r="E123" s="5"/>
      <c r="F123" s="31"/>
      <c r="G123" s="31"/>
      <c r="H123" s="31"/>
      <c r="I123" s="6"/>
    </row>
    <row r="124" spans="1:9" x14ac:dyDescent="0.35">
      <c r="A124" s="3"/>
      <c r="B124" s="31"/>
      <c r="C124" s="31"/>
      <c r="D124" s="31"/>
      <c r="E124" s="5"/>
      <c r="F124" s="31"/>
      <c r="G124" s="31"/>
      <c r="H124" s="31"/>
      <c r="I124" s="6"/>
    </row>
  </sheetData>
  <mergeCells count="247">
    <mergeCell ref="F36:H36"/>
    <mergeCell ref="B36:D36"/>
    <mergeCell ref="B35:D35"/>
    <mergeCell ref="F35:H35"/>
    <mergeCell ref="B5:D5"/>
    <mergeCell ref="F5:H5"/>
    <mergeCell ref="B6:D6"/>
    <mergeCell ref="F6:H6"/>
    <mergeCell ref="B7:D7"/>
    <mergeCell ref="F7:H7"/>
    <mergeCell ref="B12:D12"/>
    <mergeCell ref="F12:H12"/>
    <mergeCell ref="B13:D13"/>
    <mergeCell ref="F13:H13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4:D4"/>
    <mergeCell ref="F4:H4"/>
    <mergeCell ref="A1:I1"/>
    <mergeCell ref="B2:D2"/>
    <mergeCell ref="F2:H2"/>
    <mergeCell ref="B3:D3"/>
    <mergeCell ref="F3:H3"/>
    <mergeCell ref="B11:D11"/>
    <mergeCell ref="F11:H11"/>
    <mergeCell ref="B8:D8"/>
    <mergeCell ref="F8:H8"/>
    <mergeCell ref="B9:D9"/>
    <mergeCell ref="F9:H9"/>
    <mergeCell ref="B10:D10"/>
    <mergeCell ref="F10:H10"/>
    <mergeCell ref="B16:D16"/>
    <mergeCell ref="F16:H16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26:D26"/>
    <mergeCell ref="F26:H26"/>
    <mergeCell ref="B38:D38"/>
    <mergeCell ref="F38:H38"/>
    <mergeCell ref="B39:D39"/>
    <mergeCell ref="F39:H39"/>
    <mergeCell ref="B33:D33"/>
    <mergeCell ref="F33:H33"/>
    <mergeCell ref="B34:D34"/>
    <mergeCell ref="F34:H34"/>
    <mergeCell ref="B37:D37"/>
    <mergeCell ref="F37:H37"/>
    <mergeCell ref="B30:D30"/>
    <mergeCell ref="F30:H30"/>
    <mergeCell ref="B31:D31"/>
    <mergeCell ref="F31:H31"/>
    <mergeCell ref="B32:D32"/>
    <mergeCell ref="F32:H32"/>
    <mergeCell ref="B27:D27"/>
    <mergeCell ref="F27:H27"/>
    <mergeCell ref="B28:D28"/>
    <mergeCell ref="F28:H28"/>
    <mergeCell ref="B29:D29"/>
    <mergeCell ref="F29:H29"/>
    <mergeCell ref="B43:D43"/>
    <mergeCell ref="F43:H43"/>
    <mergeCell ref="B44:D44"/>
    <mergeCell ref="F44:H44"/>
    <mergeCell ref="B45:D45"/>
    <mergeCell ref="F45:H45"/>
    <mergeCell ref="B40:D40"/>
    <mergeCell ref="F40:H40"/>
    <mergeCell ref="B41:D41"/>
    <mergeCell ref="F41:H41"/>
    <mergeCell ref="B42:D42"/>
    <mergeCell ref="F42:H42"/>
    <mergeCell ref="B49:D49"/>
    <mergeCell ref="F49:H49"/>
    <mergeCell ref="B50:D50"/>
    <mergeCell ref="F50:H50"/>
    <mergeCell ref="B51:D51"/>
    <mergeCell ref="F51:H51"/>
    <mergeCell ref="B46:D46"/>
    <mergeCell ref="F46:H46"/>
    <mergeCell ref="B47:D47"/>
    <mergeCell ref="F47:H47"/>
    <mergeCell ref="B48:D48"/>
    <mergeCell ref="F48:H48"/>
    <mergeCell ref="B55:D55"/>
    <mergeCell ref="F55:H55"/>
    <mergeCell ref="B56:D56"/>
    <mergeCell ref="F56:H56"/>
    <mergeCell ref="B57:D57"/>
    <mergeCell ref="F57:H57"/>
    <mergeCell ref="B52:D52"/>
    <mergeCell ref="F52:H52"/>
    <mergeCell ref="B53:D53"/>
    <mergeCell ref="F53:H53"/>
    <mergeCell ref="B54:D54"/>
    <mergeCell ref="F54:H54"/>
    <mergeCell ref="B61:D61"/>
    <mergeCell ref="F61:H61"/>
    <mergeCell ref="B62:D62"/>
    <mergeCell ref="F62:H62"/>
    <mergeCell ref="B63:D63"/>
    <mergeCell ref="F63:H63"/>
    <mergeCell ref="B58:D58"/>
    <mergeCell ref="F58:H58"/>
    <mergeCell ref="B59:D59"/>
    <mergeCell ref="F59:H59"/>
    <mergeCell ref="B60:D60"/>
    <mergeCell ref="F60:H60"/>
    <mergeCell ref="B67:D67"/>
    <mergeCell ref="F67:H67"/>
    <mergeCell ref="B68:D68"/>
    <mergeCell ref="F68:H68"/>
    <mergeCell ref="B69:D69"/>
    <mergeCell ref="F69:H69"/>
    <mergeCell ref="B64:D64"/>
    <mergeCell ref="F64:H64"/>
    <mergeCell ref="B65:D65"/>
    <mergeCell ref="F65:H65"/>
    <mergeCell ref="B66:D66"/>
    <mergeCell ref="F66:H66"/>
    <mergeCell ref="B73:D73"/>
    <mergeCell ref="F73:H73"/>
    <mergeCell ref="B74:D74"/>
    <mergeCell ref="F74:H74"/>
    <mergeCell ref="B75:D75"/>
    <mergeCell ref="F75:H75"/>
    <mergeCell ref="B70:D70"/>
    <mergeCell ref="F70:H70"/>
    <mergeCell ref="B71:D71"/>
    <mergeCell ref="F71:H71"/>
    <mergeCell ref="B72:D72"/>
    <mergeCell ref="F72:H72"/>
    <mergeCell ref="B79:D79"/>
    <mergeCell ref="F79:H79"/>
    <mergeCell ref="B80:D80"/>
    <mergeCell ref="F80:H80"/>
    <mergeCell ref="B81:D81"/>
    <mergeCell ref="F81:H81"/>
    <mergeCell ref="B76:D76"/>
    <mergeCell ref="F76:H76"/>
    <mergeCell ref="B77:D77"/>
    <mergeCell ref="F77:H77"/>
    <mergeCell ref="B78:D78"/>
    <mergeCell ref="F78:H78"/>
    <mergeCell ref="B85:D85"/>
    <mergeCell ref="F85:H85"/>
    <mergeCell ref="B86:D86"/>
    <mergeCell ref="F86:H86"/>
    <mergeCell ref="B87:D87"/>
    <mergeCell ref="F87:H87"/>
    <mergeCell ref="B82:D82"/>
    <mergeCell ref="F82:H82"/>
    <mergeCell ref="B83:D83"/>
    <mergeCell ref="F83:H83"/>
    <mergeCell ref="B84:D84"/>
    <mergeCell ref="F84:H84"/>
    <mergeCell ref="B91:D91"/>
    <mergeCell ref="F91:H91"/>
    <mergeCell ref="B92:D92"/>
    <mergeCell ref="F92:H92"/>
    <mergeCell ref="B93:D93"/>
    <mergeCell ref="F93:H93"/>
    <mergeCell ref="B88:D88"/>
    <mergeCell ref="F88:H88"/>
    <mergeCell ref="B89:D89"/>
    <mergeCell ref="F89:H89"/>
    <mergeCell ref="B90:D90"/>
    <mergeCell ref="F90:H90"/>
    <mergeCell ref="B97:D97"/>
    <mergeCell ref="F97:H97"/>
    <mergeCell ref="B98:D98"/>
    <mergeCell ref="F98:H98"/>
    <mergeCell ref="B99:D99"/>
    <mergeCell ref="F99:H99"/>
    <mergeCell ref="B94:D94"/>
    <mergeCell ref="F94:H94"/>
    <mergeCell ref="B95:D95"/>
    <mergeCell ref="F95:H95"/>
    <mergeCell ref="B96:D96"/>
    <mergeCell ref="F96:H96"/>
    <mergeCell ref="B103:D103"/>
    <mergeCell ref="F103:H103"/>
    <mergeCell ref="B104:D104"/>
    <mergeCell ref="F104:H104"/>
    <mergeCell ref="B105:D105"/>
    <mergeCell ref="F105:H105"/>
    <mergeCell ref="B100:D100"/>
    <mergeCell ref="F100:H100"/>
    <mergeCell ref="B101:D101"/>
    <mergeCell ref="F101:H101"/>
    <mergeCell ref="B102:D102"/>
    <mergeCell ref="F102:H102"/>
    <mergeCell ref="B109:D109"/>
    <mergeCell ref="F109:H109"/>
    <mergeCell ref="B110:D110"/>
    <mergeCell ref="F110:H110"/>
    <mergeCell ref="B111:D111"/>
    <mergeCell ref="F111:H111"/>
    <mergeCell ref="B106:D106"/>
    <mergeCell ref="F106:H106"/>
    <mergeCell ref="B107:D107"/>
    <mergeCell ref="F107:H107"/>
    <mergeCell ref="B108:D108"/>
    <mergeCell ref="F108:H108"/>
    <mergeCell ref="B115:D115"/>
    <mergeCell ref="F115:H115"/>
    <mergeCell ref="B116:D116"/>
    <mergeCell ref="F116:H116"/>
    <mergeCell ref="B117:D117"/>
    <mergeCell ref="F117:H117"/>
    <mergeCell ref="B112:D112"/>
    <mergeCell ref="F112:H112"/>
    <mergeCell ref="B113:D113"/>
    <mergeCell ref="F113:H113"/>
    <mergeCell ref="B114:D114"/>
    <mergeCell ref="F114:H114"/>
    <mergeCell ref="B124:D124"/>
    <mergeCell ref="F124:H124"/>
    <mergeCell ref="B121:D121"/>
    <mergeCell ref="F121:H121"/>
    <mergeCell ref="B122:D122"/>
    <mergeCell ref="F122:H122"/>
    <mergeCell ref="B123:D123"/>
    <mergeCell ref="F123:H123"/>
    <mergeCell ref="B118:D118"/>
    <mergeCell ref="F118:H118"/>
    <mergeCell ref="B119:D119"/>
    <mergeCell ref="F119:H119"/>
    <mergeCell ref="B120:D120"/>
    <mergeCell ref="F120:H12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16" sqref="I16"/>
    </sheetView>
  </sheetViews>
  <sheetFormatPr defaultRowHeight="14.5" x14ac:dyDescent="0.35"/>
  <cols>
    <col min="5" max="5" width="9.6328125" customWidth="1"/>
    <col min="9" max="9" width="9.453125" customWidth="1"/>
  </cols>
  <sheetData>
    <row r="1" spans="1:9" x14ac:dyDescent="0.35">
      <c r="A1" s="3" t="s">
        <v>1</v>
      </c>
      <c r="B1" s="31" t="s">
        <v>2</v>
      </c>
      <c r="C1" s="31"/>
      <c r="D1" s="31"/>
      <c r="E1" s="5"/>
      <c r="F1" s="31" t="s">
        <v>2</v>
      </c>
      <c r="G1" s="31"/>
      <c r="H1" s="31"/>
      <c r="I1" s="6"/>
    </row>
    <row r="2" spans="1:9" x14ac:dyDescent="0.35">
      <c r="A2" s="4"/>
      <c r="B2" s="31"/>
      <c r="C2" s="31"/>
      <c r="D2" s="31"/>
      <c r="E2" s="5"/>
      <c r="F2" s="31"/>
      <c r="G2" s="31"/>
      <c r="H2" s="31"/>
      <c r="I2" s="6"/>
    </row>
    <row r="3" spans="1:9" x14ac:dyDescent="0.35">
      <c r="A3" s="3"/>
      <c r="B3" s="31"/>
      <c r="C3" s="31"/>
      <c r="D3" s="31"/>
      <c r="E3" s="5"/>
      <c r="F3" s="31"/>
      <c r="G3" s="31"/>
      <c r="H3" s="31"/>
      <c r="I3" s="6"/>
    </row>
    <row r="4" spans="1:9" x14ac:dyDescent="0.35">
      <c r="A4" s="4">
        <v>45789</v>
      </c>
      <c r="B4" s="31"/>
      <c r="C4" s="31"/>
      <c r="D4" s="31"/>
      <c r="E4" s="5"/>
      <c r="F4" s="31" t="s">
        <v>4</v>
      </c>
      <c r="G4" s="31"/>
      <c r="H4" s="31"/>
      <c r="I4" s="6">
        <v>1035</v>
      </c>
    </row>
    <row r="5" spans="1:9" x14ac:dyDescent="0.35">
      <c r="A5" s="4">
        <v>45832</v>
      </c>
      <c r="B5" s="31" t="s">
        <v>235</v>
      </c>
      <c r="C5" s="31"/>
      <c r="D5" s="31"/>
      <c r="E5" s="5">
        <v>1080</v>
      </c>
      <c r="F5" s="31"/>
      <c r="G5" s="31"/>
      <c r="H5" s="31"/>
      <c r="I5" s="6"/>
    </row>
    <row r="6" spans="1:9" x14ac:dyDescent="0.35">
      <c r="A6" s="3"/>
      <c r="B6" s="31"/>
      <c r="C6" s="31"/>
      <c r="D6" s="31"/>
      <c r="E6" s="5"/>
      <c r="F6" s="31" t="s">
        <v>236</v>
      </c>
      <c r="G6" s="31"/>
      <c r="H6" s="31"/>
      <c r="I6" s="6">
        <v>45</v>
      </c>
    </row>
    <row r="7" spans="1:9" ht="15.5" x14ac:dyDescent="0.45">
      <c r="A7" s="3"/>
      <c r="B7" s="31"/>
      <c r="C7" s="31"/>
      <c r="D7" s="31"/>
      <c r="E7" s="12">
        <f>I7</f>
        <v>1035</v>
      </c>
      <c r="F7" s="31"/>
      <c r="G7" s="31"/>
      <c r="H7" s="31"/>
      <c r="I7" s="11">
        <v>1035</v>
      </c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>
        <v>45832</v>
      </c>
      <c r="B9" s="42" t="s">
        <v>236</v>
      </c>
      <c r="C9" s="42"/>
      <c r="D9" s="42"/>
      <c r="E9" s="20">
        <v>45</v>
      </c>
      <c r="F9" s="31"/>
      <c r="G9" s="31"/>
      <c r="H9" s="31"/>
      <c r="I9" s="6" t="s">
        <v>19</v>
      </c>
    </row>
    <row r="10" spans="1:9" x14ac:dyDescent="0.35">
      <c r="A10" s="4">
        <v>45881</v>
      </c>
      <c r="B10" s="31"/>
      <c r="C10" s="31"/>
      <c r="D10" s="31"/>
      <c r="E10" s="5"/>
      <c r="F10" s="31" t="s">
        <v>237</v>
      </c>
      <c r="G10" s="31"/>
      <c r="H10" s="31"/>
      <c r="I10" s="6">
        <v>1030</v>
      </c>
    </row>
    <row r="11" spans="1:9" x14ac:dyDescent="0.35">
      <c r="A11" s="4">
        <v>45881</v>
      </c>
      <c r="B11" s="31" t="s">
        <v>24</v>
      </c>
      <c r="C11" s="31"/>
      <c r="D11" s="31"/>
      <c r="E11" s="5">
        <v>880</v>
      </c>
      <c r="F11" s="31"/>
      <c r="G11" s="31"/>
      <c r="H11" s="31"/>
      <c r="I11" s="6"/>
    </row>
    <row r="12" spans="1:9" x14ac:dyDescent="0.35">
      <c r="A12" s="4">
        <v>45884</v>
      </c>
      <c r="B12" s="31" t="s">
        <v>29</v>
      </c>
      <c r="C12" s="31"/>
      <c r="D12" s="31"/>
      <c r="E12" s="5">
        <f>E13-K12</f>
        <v>1030</v>
      </c>
      <c r="F12" s="31"/>
      <c r="G12" s="31"/>
      <c r="H12" s="31"/>
      <c r="I12" s="6"/>
    </row>
    <row r="13" spans="1:9" ht="15.5" x14ac:dyDescent="0.45">
      <c r="A13" s="3"/>
      <c r="B13" s="31"/>
      <c r="C13" s="31"/>
      <c r="D13" s="31"/>
      <c r="E13" s="12">
        <f>I13</f>
        <v>1030</v>
      </c>
      <c r="F13" s="31"/>
      <c r="G13" s="31"/>
      <c r="H13" s="31"/>
      <c r="I13" s="11">
        <f>I10</f>
        <v>1030</v>
      </c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4">
        <v>45884</v>
      </c>
      <c r="B15" s="31"/>
      <c r="C15" s="31"/>
      <c r="D15" s="31"/>
      <c r="E15" s="5"/>
      <c r="F15" s="31" t="s">
        <v>4</v>
      </c>
      <c r="G15" s="31"/>
      <c r="H15" s="31"/>
      <c r="I15" s="6">
        <v>105</v>
      </c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</sheetData>
  <mergeCells count="42">
    <mergeCell ref="B19:D19"/>
    <mergeCell ref="F19:H19"/>
    <mergeCell ref="B20:D20"/>
    <mergeCell ref="F20:H20"/>
    <mergeCell ref="B21:D21"/>
    <mergeCell ref="F21:H21"/>
    <mergeCell ref="B16:D16"/>
    <mergeCell ref="F16:H16"/>
    <mergeCell ref="B17:D17"/>
    <mergeCell ref="F17:H17"/>
    <mergeCell ref="B18:D18"/>
    <mergeCell ref="F18:H18"/>
    <mergeCell ref="B13:D13"/>
    <mergeCell ref="F13:H13"/>
    <mergeCell ref="B14:D14"/>
    <mergeCell ref="F14:H14"/>
    <mergeCell ref="B15:D15"/>
    <mergeCell ref="F15:H15"/>
    <mergeCell ref="B10:D10"/>
    <mergeCell ref="F10:H10"/>
    <mergeCell ref="B11:D11"/>
    <mergeCell ref="F11:H11"/>
    <mergeCell ref="B12:D12"/>
    <mergeCell ref="F12:H12"/>
    <mergeCell ref="B7:D7"/>
    <mergeCell ref="F7:H7"/>
    <mergeCell ref="B8:D8"/>
    <mergeCell ref="F8:H8"/>
    <mergeCell ref="B9:D9"/>
    <mergeCell ref="F9:H9"/>
    <mergeCell ref="B4:D4"/>
    <mergeCell ref="F4:H4"/>
    <mergeCell ref="B5:D5"/>
    <mergeCell ref="F5:H5"/>
    <mergeCell ref="B6:D6"/>
    <mergeCell ref="F6:H6"/>
    <mergeCell ref="B1:D1"/>
    <mergeCell ref="F1:H1"/>
    <mergeCell ref="B2:D2"/>
    <mergeCell ref="F2:H2"/>
    <mergeCell ref="B3:D3"/>
    <mergeCell ref="F3:H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7"/>
  <sheetViews>
    <sheetView topLeftCell="A4" workbookViewId="0">
      <selection activeCell="E13" sqref="E13"/>
    </sheetView>
  </sheetViews>
  <sheetFormatPr defaultRowHeight="14.5" x14ac:dyDescent="0.35"/>
  <cols>
    <col min="5" max="5" width="9.1796875" bestFit="1" customWidth="1"/>
    <col min="9" max="9" width="9.1796875" bestFit="1" customWidth="1"/>
    <col min="11" max="11" width="9.90625" bestFit="1" customWidth="1"/>
  </cols>
  <sheetData>
    <row r="1" spans="1:11" ht="20" thickBot="1" x14ac:dyDescent="0.5">
      <c r="A1" s="32" t="s">
        <v>225</v>
      </c>
      <c r="B1" s="32"/>
      <c r="C1" s="32"/>
      <c r="D1" s="32"/>
      <c r="E1" s="32"/>
      <c r="F1" s="32"/>
      <c r="G1" s="32"/>
      <c r="H1" s="32"/>
      <c r="I1" s="32"/>
    </row>
    <row r="2" spans="1:11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11" x14ac:dyDescent="0.35">
      <c r="A3" s="4">
        <v>45721</v>
      </c>
      <c r="B3" s="33" t="s">
        <v>227</v>
      </c>
      <c r="C3" s="34"/>
      <c r="D3" s="35"/>
      <c r="E3" s="5">
        <v>500</v>
      </c>
      <c r="F3" s="33" t="s">
        <v>226</v>
      </c>
      <c r="G3" s="34"/>
      <c r="H3" s="35"/>
      <c r="I3" s="6">
        <v>1500</v>
      </c>
    </row>
    <row r="4" spans="1:11" x14ac:dyDescent="0.35">
      <c r="A4" s="4">
        <v>45754</v>
      </c>
      <c r="B4" s="31" t="s">
        <v>24</v>
      </c>
      <c r="C4" s="31"/>
      <c r="D4" s="31"/>
      <c r="E4" s="5">
        <v>400</v>
      </c>
      <c r="F4" s="31"/>
      <c r="G4" s="31"/>
      <c r="H4" s="31"/>
      <c r="I4" s="6"/>
    </row>
    <row r="5" spans="1:11" x14ac:dyDescent="0.35">
      <c r="A5" s="4">
        <v>45758</v>
      </c>
      <c r="B5" s="31"/>
      <c r="C5" s="31"/>
      <c r="D5" s="31"/>
      <c r="E5" s="5"/>
      <c r="F5" s="31" t="s">
        <v>228</v>
      </c>
      <c r="G5" s="31"/>
      <c r="H5" s="31"/>
      <c r="I5" s="6">
        <v>250</v>
      </c>
    </row>
    <row r="6" spans="1:11" ht="15.5" x14ac:dyDescent="0.45">
      <c r="A6" s="4">
        <v>45797</v>
      </c>
      <c r="B6" s="31" t="s">
        <v>24</v>
      </c>
      <c r="C6" s="31"/>
      <c r="D6" s="31"/>
      <c r="E6" s="5">
        <v>200</v>
      </c>
      <c r="F6" s="31"/>
      <c r="G6" s="31"/>
      <c r="H6" s="31"/>
      <c r="I6" s="10"/>
    </row>
    <row r="7" spans="1:11" ht="15.5" x14ac:dyDescent="0.45">
      <c r="A7" s="4">
        <v>45814</v>
      </c>
      <c r="B7" s="31" t="s">
        <v>29</v>
      </c>
      <c r="C7" s="31"/>
      <c r="D7" s="31"/>
      <c r="E7" s="12">
        <f>E8-K7</f>
        <v>650</v>
      </c>
      <c r="F7" s="31"/>
      <c r="G7" s="31"/>
      <c r="H7" s="31"/>
      <c r="I7" s="11"/>
      <c r="K7" s="9">
        <f>SUM(E3:E6)</f>
        <v>1100</v>
      </c>
    </row>
    <row r="8" spans="1:11" ht="15.5" x14ac:dyDescent="0.45">
      <c r="A8" s="3"/>
      <c r="B8" s="31"/>
      <c r="C8" s="31"/>
      <c r="D8" s="31"/>
      <c r="E8" s="12">
        <f>I8</f>
        <v>1750</v>
      </c>
      <c r="F8" s="31"/>
      <c r="G8" s="31"/>
      <c r="H8" s="31"/>
      <c r="I8" s="11">
        <f>SUM(I3:I5)</f>
        <v>1750</v>
      </c>
    </row>
    <row r="9" spans="1:11" x14ac:dyDescent="0.35">
      <c r="A9" s="4"/>
      <c r="B9" s="31"/>
      <c r="C9" s="31"/>
      <c r="D9" s="31"/>
      <c r="E9" s="5"/>
      <c r="F9" s="31"/>
      <c r="G9" s="31"/>
      <c r="H9" s="31"/>
      <c r="I9" s="6"/>
    </row>
    <row r="10" spans="1:11" x14ac:dyDescent="0.35">
      <c r="A10" s="4">
        <v>45817</v>
      </c>
      <c r="B10" s="31" t="s">
        <v>24</v>
      </c>
      <c r="C10" s="31"/>
      <c r="D10" s="31"/>
      <c r="E10" s="5">
        <v>100</v>
      </c>
      <c r="F10" s="31" t="s">
        <v>126</v>
      </c>
      <c r="G10" s="31"/>
      <c r="H10" s="31"/>
      <c r="I10" s="6">
        <v>650</v>
      </c>
    </row>
    <row r="11" spans="1:11" x14ac:dyDescent="0.35">
      <c r="A11" s="4">
        <v>45828</v>
      </c>
      <c r="B11" s="31" t="s">
        <v>24</v>
      </c>
      <c r="C11" s="31"/>
      <c r="D11" s="31"/>
      <c r="E11" s="5">
        <v>200</v>
      </c>
      <c r="F11" s="31"/>
      <c r="G11" s="31"/>
      <c r="H11" s="31"/>
      <c r="I11" s="6"/>
    </row>
    <row r="12" spans="1:11" x14ac:dyDescent="0.35">
      <c r="A12" s="4">
        <v>45866</v>
      </c>
      <c r="B12" s="31" t="s">
        <v>24</v>
      </c>
      <c r="C12" s="31"/>
      <c r="D12" s="31"/>
      <c r="E12" s="5">
        <v>100</v>
      </c>
      <c r="F12" s="31"/>
      <c r="G12" s="31"/>
      <c r="H12" s="31"/>
      <c r="I12" s="6"/>
    </row>
    <row r="13" spans="1:11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11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11" x14ac:dyDescent="0.35">
      <c r="A15" s="4"/>
      <c r="B15" s="31"/>
      <c r="C15" s="31"/>
      <c r="D15" s="31"/>
      <c r="E15" s="5"/>
      <c r="F15" s="31"/>
      <c r="G15" s="31"/>
      <c r="H15" s="31"/>
      <c r="I15" s="6"/>
    </row>
    <row r="16" spans="1:11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</sheetData>
  <mergeCells count="73">
    <mergeCell ref="B35:D35"/>
    <mergeCell ref="F35:H35"/>
    <mergeCell ref="B36:D36"/>
    <mergeCell ref="F36:H36"/>
    <mergeCell ref="B37:D37"/>
    <mergeCell ref="F37:H37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F13" sqref="F13:H13"/>
    </sheetView>
  </sheetViews>
  <sheetFormatPr defaultRowHeight="14.5" x14ac:dyDescent="0.35"/>
  <cols>
    <col min="5" max="5" width="9.453125" customWidth="1"/>
    <col min="9" max="9" width="9.36328125" customWidth="1"/>
  </cols>
  <sheetData>
    <row r="1" spans="1:12" ht="20" thickBot="1" x14ac:dyDescent="0.5">
      <c r="A1" s="32" t="s">
        <v>103</v>
      </c>
      <c r="B1" s="32"/>
      <c r="C1" s="32"/>
      <c r="D1" s="32"/>
      <c r="E1" s="32"/>
      <c r="F1" s="32"/>
      <c r="G1" s="32"/>
      <c r="H1" s="32"/>
      <c r="I1" s="32"/>
    </row>
    <row r="2" spans="1:12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12" x14ac:dyDescent="0.35">
      <c r="A3" s="4">
        <v>45658</v>
      </c>
      <c r="B3" s="33"/>
      <c r="C3" s="34"/>
      <c r="D3" s="35"/>
      <c r="E3" s="5"/>
      <c r="F3" s="33" t="s">
        <v>4</v>
      </c>
      <c r="G3" s="34"/>
      <c r="H3" s="35"/>
      <c r="I3" s="6">
        <v>1770</v>
      </c>
    </row>
    <row r="4" spans="1:12" x14ac:dyDescent="0.35">
      <c r="A4" s="4">
        <v>45665</v>
      </c>
      <c r="B4" s="31" t="s">
        <v>26</v>
      </c>
      <c r="C4" s="31"/>
      <c r="D4" s="31"/>
      <c r="E4" s="5">
        <v>500</v>
      </c>
      <c r="F4" s="31"/>
      <c r="G4" s="31"/>
      <c r="H4" s="31"/>
      <c r="I4" s="6"/>
    </row>
    <row r="5" spans="1:12" x14ac:dyDescent="0.35">
      <c r="A5" s="4">
        <v>45674</v>
      </c>
      <c r="B5" s="31" t="s">
        <v>26</v>
      </c>
      <c r="C5" s="31"/>
      <c r="D5" s="31"/>
      <c r="E5" s="5">
        <v>300</v>
      </c>
      <c r="F5" s="31"/>
      <c r="G5" s="31"/>
      <c r="H5" s="31"/>
      <c r="I5" s="6"/>
    </row>
    <row r="6" spans="1:12" ht="15.5" x14ac:dyDescent="0.45">
      <c r="A6" s="4"/>
      <c r="B6" s="31"/>
      <c r="C6" s="31"/>
      <c r="D6" s="31"/>
      <c r="E6" s="5"/>
      <c r="F6" s="31"/>
      <c r="G6" s="31"/>
      <c r="H6" s="31"/>
      <c r="I6" s="10"/>
    </row>
    <row r="7" spans="1:12" ht="15.5" x14ac:dyDescent="0.45">
      <c r="A7" s="4"/>
      <c r="B7" s="31"/>
      <c r="C7" s="31"/>
      <c r="D7" s="31"/>
      <c r="E7" s="12"/>
      <c r="F7" s="31"/>
      <c r="G7" s="31"/>
      <c r="H7" s="31"/>
      <c r="I7" s="11"/>
    </row>
    <row r="8" spans="1:12" x14ac:dyDescent="0.35">
      <c r="A8" s="4">
        <v>45712</v>
      </c>
      <c r="B8" s="31"/>
      <c r="C8" s="31"/>
      <c r="D8" s="31"/>
      <c r="E8" s="5"/>
      <c r="F8" s="31" t="s">
        <v>146</v>
      </c>
      <c r="G8" s="31"/>
      <c r="H8" s="31"/>
      <c r="I8" s="6">
        <v>600</v>
      </c>
    </row>
    <row r="9" spans="1:12" x14ac:dyDescent="0.35">
      <c r="A9" s="4">
        <v>45712</v>
      </c>
      <c r="B9" s="31" t="s">
        <v>24</v>
      </c>
      <c r="C9" s="31"/>
      <c r="D9" s="31"/>
      <c r="E9" s="5">
        <v>500</v>
      </c>
      <c r="F9" s="31"/>
      <c r="G9" s="31"/>
      <c r="H9" s="31"/>
      <c r="I9" s="6"/>
      <c r="L9" s="18"/>
    </row>
    <row r="10" spans="1:12" x14ac:dyDescent="0.35">
      <c r="A10" s="4">
        <v>45730</v>
      </c>
      <c r="B10" s="31" t="s">
        <v>24</v>
      </c>
      <c r="C10" s="31"/>
      <c r="D10" s="31"/>
      <c r="E10" s="5">
        <v>70</v>
      </c>
      <c r="F10" s="31"/>
      <c r="G10" s="31"/>
      <c r="H10" s="31"/>
      <c r="I10" s="6"/>
      <c r="L10" s="18"/>
    </row>
    <row r="11" spans="1:12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12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12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12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12" ht="15.5" x14ac:dyDescent="0.45">
      <c r="A15" s="3"/>
      <c r="B15" s="31"/>
      <c r="C15" s="31"/>
      <c r="D15" s="31"/>
      <c r="E15" s="12"/>
      <c r="F15" s="31"/>
      <c r="G15" s="31"/>
      <c r="H15" s="31"/>
      <c r="I15" s="11"/>
    </row>
    <row r="16" spans="1:12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4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4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14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14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14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14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14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</sheetData>
  <mergeCells count="47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3:D23"/>
    <mergeCell ref="F23:H23"/>
    <mergeCell ref="B24:D24"/>
    <mergeCell ref="F24:H24"/>
    <mergeCell ref="B20:D20"/>
    <mergeCell ref="F20:H20"/>
    <mergeCell ref="B21:D21"/>
    <mergeCell ref="F21:H21"/>
    <mergeCell ref="B22:D22"/>
    <mergeCell ref="F22:H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I24"/>
  <sheetViews>
    <sheetView workbookViewId="0">
      <selection activeCell="E5" sqref="E5"/>
    </sheetView>
  </sheetViews>
  <sheetFormatPr defaultRowHeight="14.5" x14ac:dyDescent="0.35"/>
  <cols>
    <col min="5" max="5" width="9.453125" customWidth="1"/>
    <col min="9" max="9" width="9.90625" customWidth="1"/>
  </cols>
  <sheetData>
    <row r="1" spans="1:9" ht="20" thickBot="1" x14ac:dyDescent="0.5">
      <c r="A1" s="32" t="s">
        <v>79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45631</v>
      </c>
      <c r="B3" s="33"/>
      <c r="C3" s="34"/>
      <c r="D3" s="35"/>
      <c r="E3" s="5"/>
      <c r="F3" s="33" t="s">
        <v>80</v>
      </c>
      <c r="G3" s="34"/>
      <c r="H3" s="35"/>
      <c r="I3" s="6">
        <v>1090</v>
      </c>
    </row>
    <row r="4" spans="1:9" x14ac:dyDescent="0.35">
      <c r="A4" s="4">
        <v>45693</v>
      </c>
      <c r="B4" s="31" t="s">
        <v>80</v>
      </c>
      <c r="C4" s="31"/>
      <c r="D4" s="31"/>
      <c r="E4" s="5">
        <v>1090</v>
      </c>
      <c r="F4" s="31"/>
      <c r="G4" s="31"/>
      <c r="H4" s="31"/>
      <c r="I4" s="6"/>
    </row>
    <row r="5" spans="1:9" x14ac:dyDescent="0.35">
      <c r="A5" s="4"/>
      <c r="B5" s="31"/>
      <c r="C5" s="31"/>
      <c r="D5" s="31"/>
      <c r="E5" s="5"/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5"/>
      <c r="F6" s="31"/>
      <c r="G6" s="31"/>
      <c r="H6" s="31"/>
      <c r="I6" s="10"/>
    </row>
    <row r="7" spans="1:9" ht="15.5" x14ac:dyDescent="0.45">
      <c r="A7" s="4"/>
      <c r="B7" s="31"/>
      <c r="C7" s="31"/>
      <c r="D7" s="31"/>
      <c r="E7" s="12"/>
      <c r="F7" s="31"/>
      <c r="G7" s="31"/>
      <c r="H7" s="31"/>
      <c r="I7" s="11"/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3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2"/>
      <c r="F15" s="31"/>
      <c r="G15" s="31"/>
      <c r="H15" s="31"/>
      <c r="I15" s="11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4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4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14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14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14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14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14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</sheetData>
  <mergeCells count="47">
    <mergeCell ref="B23:D23"/>
    <mergeCell ref="F23:H23"/>
    <mergeCell ref="B24:D24"/>
    <mergeCell ref="F24:H24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N191"/>
  <sheetViews>
    <sheetView topLeftCell="A66" workbookViewId="0">
      <selection activeCell="F81" sqref="F81:H81"/>
    </sheetView>
  </sheetViews>
  <sheetFormatPr defaultRowHeight="14.5" x14ac:dyDescent="0.35"/>
  <cols>
    <col min="5" max="5" width="9.1796875" bestFit="1" customWidth="1"/>
    <col min="9" max="9" width="9.36328125" customWidth="1"/>
    <col min="13" max="14" width="9.90625" bestFit="1" customWidth="1"/>
  </cols>
  <sheetData>
    <row r="1" spans="1:9" ht="19" thickBot="1" x14ac:dyDescent="0.5">
      <c r="A1" s="43" t="s">
        <v>178</v>
      </c>
      <c r="B1" s="43"/>
      <c r="C1" s="43"/>
      <c r="D1" s="43"/>
      <c r="E1" s="43"/>
      <c r="F1" s="43"/>
      <c r="G1" s="43"/>
      <c r="H1" s="43"/>
      <c r="I1" s="43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45616</v>
      </c>
      <c r="B3" s="33"/>
      <c r="C3" s="34"/>
      <c r="D3" s="35"/>
      <c r="E3" s="5"/>
      <c r="F3" s="33" t="s">
        <v>87</v>
      </c>
      <c r="G3" s="34"/>
      <c r="H3" s="35"/>
      <c r="I3" s="6">
        <v>540</v>
      </c>
    </row>
    <row r="4" spans="1:9" x14ac:dyDescent="0.35">
      <c r="A4" s="4">
        <v>45636</v>
      </c>
      <c r="B4" s="31"/>
      <c r="C4" s="31"/>
      <c r="D4" s="31"/>
      <c r="E4" s="5"/>
      <c r="F4" s="31" t="s">
        <v>88</v>
      </c>
      <c r="G4" s="31"/>
      <c r="H4" s="31"/>
      <c r="I4" s="6">
        <v>600</v>
      </c>
    </row>
    <row r="5" spans="1:9" x14ac:dyDescent="0.35">
      <c r="A5" s="4">
        <v>45637</v>
      </c>
      <c r="B5" s="31"/>
      <c r="C5" s="31"/>
      <c r="D5" s="31"/>
      <c r="E5" s="5"/>
      <c r="F5" s="31" t="s">
        <v>89</v>
      </c>
      <c r="G5" s="31"/>
      <c r="H5" s="31"/>
      <c r="I5" s="6">
        <v>290</v>
      </c>
    </row>
    <row r="6" spans="1:9" x14ac:dyDescent="0.35">
      <c r="A6" s="4">
        <v>45638</v>
      </c>
      <c r="B6" s="31"/>
      <c r="C6" s="31"/>
      <c r="D6" s="31"/>
      <c r="E6" s="5"/>
      <c r="F6" s="31" t="s">
        <v>91</v>
      </c>
      <c r="G6" s="31"/>
      <c r="H6" s="31"/>
      <c r="I6" s="6">
        <v>1560</v>
      </c>
    </row>
    <row r="7" spans="1:9" ht="15.5" x14ac:dyDescent="0.45">
      <c r="A7" s="4">
        <v>45638</v>
      </c>
      <c r="B7" s="31"/>
      <c r="C7" s="31"/>
      <c r="D7" s="31"/>
      <c r="E7" s="12"/>
      <c r="F7" s="31" t="s">
        <v>92</v>
      </c>
      <c r="G7" s="31"/>
      <c r="H7" s="31"/>
      <c r="I7" s="6">
        <v>1560</v>
      </c>
    </row>
    <row r="8" spans="1:9" x14ac:dyDescent="0.35">
      <c r="A8" s="14">
        <v>45639</v>
      </c>
      <c r="B8" s="31"/>
      <c r="C8" s="31"/>
      <c r="D8" s="31"/>
      <c r="E8" s="5"/>
      <c r="F8" s="31" t="s">
        <v>90</v>
      </c>
      <c r="G8" s="31"/>
      <c r="H8" s="31"/>
      <c r="I8" s="6">
        <v>150</v>
      </c>
    </row>
    <row r="9" spans="1:9" x14ac:dyDescent="0.35">
      <c r="A9" s="14">
        <v>45642</v>
      </c>
      <c r="B9" s="31"/>
      <c r="C9" s="31"/>
      <c r="D9" s="31"/>
      <c r="E9" s="5"/>
      <c r="F9" s="31" t="s">
        <v>93</v>
      </c>
      <c r="G9" s="31"/>
      <c r="H9" s="31"/>
      <c r="I9" s="6">
        <v>390</v>
      </c>
    </row>
    <row r="10" spans="1:9" x14ac:dyDescent="0.35">
      <c r="A10" s="4">
        <v>45643</v>
      </c>
      <c r="B10" s="31" t="s">
        <v>29</v>
      </c>
      <c r="C10" s="31"/>
      <c r="D10" s="31"/>
      <c r="E10" s="5">
        <v>5090</v>
      </c>
      <c r="F10" s="31"/>
      <c r="G10" s="31"/>
      <c r="H10" s="31"/>
      <c r="I10" s="6"/>
    </row>
    <row r="11" spans="1:9" ht="15.5" x14ac:dyDescent="0.45">
      <c r="A11" s="4"/>
      <c r="B11" s="31"/>
      <c r="C11" s="31"/>
      <c r="D11" s="31"/>
      <c r="E11" s="12">
        <v>5090</v>
      </c>
      <c r="F11" s="31"/>
      <c r="G11" s="31"/>
      <c r="H11" s="31"/>
      <c r="I11" s="11">
        <f>SUM(I3:I9)</f>
        <v>5090</v>
      </c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4">
        <v>45643</v>
      </c>
      <c r="B13" s="31"/>
      <c r="C13" s="31"/>
      <c r="D13" s="31"/>
      <c r="E13" s="5"/>
      <c r="F13" s="31" t="s">
        <v>4</v>
      </c>
      <c r="G13" s="31"/>
      <c r="H13" s="31"/>
      <c r="I13" s="15">
        <v>5090</v>
      </c>
    </row>
    <row r="14" spans="1:9" x14ac:dyDescent="0.35">
      <c r="A14" s="14">
        <v>45644</v>
      </c>
      <c r="B14" s="31"/>
      <c r="C14" s="31"/>
      <c r="D14" s="31"/>
      <c r="E14" s="5"/>
      <c r="F14" s="31" t="s">
        <v>94</v>
      </c>
      <c r="G14" s="31"/>
      <c r="H14" s="31"/>
      <c r="I14" s="6">
        <v>1220</v>
      </c>
    </row>
    <row r="15" spans="1:9" ht="15.5" x14ac:dyDescent="0.45">
      <c r="A15" s="14">
        <v>45644</v>
      </c>
      <c r="B15" s="31" t="s">
        <v>87</v>
      </c>
      <c r="C15" s="31"/>
      <c r="D15" s="31"/>
      <c r="E15" s="5">
        <v>540</v>
      </c>
      <c r="F15" s="31"/>
      <c r="G15" s="31"/>
      <c r="H15" s="31"/>
      <c r="I15" s="11"/>
    </row>
    <row r="16" spans="1:9" x14ac:dyDescent="0.35">
      <c r="A16" s="3"/>
      <c r="B16" s="31" t="s">
        <v>88</v>
      </c>
      <c r="C16" s="31"/>
      <c r="D16" s="31"/>
      <c r="E16" s="5">
        <v>600</v>
      </c>
      <c r="F16" s="31"/>
      <c r="G16" s="31"/>
      <c r="H16" s="31"/>
      <c r="I16" s="6"/>
    </row>
    <row r="17" spans="1:9" x14ac:dyDescent="0.35">
      <c r="A17" s="4"/>
      <c r="B17" s="31" t="s">
        <v>89</v>
      </c>
      <c r="C17" s="31"/>
      <c r="D17" s="31"/>
      <c r="E17" s="5">
        <v>290</v>
      </c>
      <c r="F17" s="31"/>
      <c r="G17" s="31"/>
      <c r="H17" s="31"/>
      <c r="I17" s="6"/>
    </row>
    <row r="18" spans="1:9" x14ac:dyDescent="0.35">
      <c r="A18" s="4">
        <v>45646</v>
      </c>
      <c r="B18" s="31" t="s">
        <v>91</v>
      </c>
      <c r="C18" s="31"/>
      <c r="D18" s="31"/>
      <c r="E18" s="5">
        <v>1560</v>
      </c>
      <c r="F18" s="31"/>
      <c r="G18" s="31"/>
      <c r="H18" s="31"/>
      <c r="I18" s="6"/>
    </row>
    <row r="19" spans="1:9" x14ac:dyDescent="0.35">
      <c r="A19" s="14"/>
      <c r="B19" s="31" t="s">
        <v>92</v>
      </c>
      <c r="C19" s="31"/>
      <c r="D19" s="31"/>
      <c r="E19" s="5">
        <v>1560</v>
      </c>
      <c r="F19" s="31"/>
      <c r="G19" s="31"/>
      <c r="H19" s="31"/>
      <c r="I19" s="6"/>
    </row>
    <row r="20" spans="1:9" x14ac:dyDescent="0.35">
      <c r="A20" s="14"/>
      <c r="B20" s="31" t="s">
        <v>90</v>
      </c>
      <c r="C20" s="31"/>
      <c r="D20" s="31"/>
      <c r="E20" s="5">
        <v>150</v>
      </c>
      <c r="F20" s="31"/>
      <c r="G20" s="31"/>
      <c r="H20" s="31"/>
      <c r="I20" s="6"/>
    </row>
    <row r="21" spans="1:9" x14ac:dyDescent="0.35">
      <c r="A21" s="14">
        <v>45650</v>
      </c>
      <c r="B21" s="31"/>
      <c r="C21" s="31"/>
      <c r="D21" s="31"/>
      <c r="E21" s="5"/>
      <c r="F21" s="31" t="s">
        <v>97</v>
      </c>
      <c r="G21" s="31"/>
      <c r="H21" s="31"/>
      <c r="I21" s="6">
        <v>80</v>
      </c>
    </row>
    <row r="22" spans="1:9" x14ac:dyDescent="0.35">
      <c r="A22" s="14">
        <v>46022</v>
      </c>
      <c r="B22" s="31" t="s">
        <v>29</v>
      </c>
      <c r="C22" s="31"/>
      <c r="D22" s="31"/>
      <c r="E22" s="5">
        <v>1690</v>
      </c>
      <c r="F22" s="31"/>
      <c r="G22" s="31"/>
      <c r="H22" s="31"/>
      <c r="I22" s="6"/>
    </row>
    <row r="23" spans="1:9" ht="15.5" x14ac:dyDescent="0.45">
      <c r="A23" s="14"/>
      <c r="B23" s="31"/>
      <c r="C23" s="31"/>
      <c r="D23" s="31"/>
      <c r="E23" s="12">
        <v>6390</v>
      </c>
      <c r="F23" s="31"/>
      <c r="G23" s="31"/>
      <c r="H23" s="31"/>
      <c r="I23" s="11">
        <f>SUM(I13:I21)</f>
        <v>6390</v>
      </c>
    </row>
    <row r="24" spans="1:9" x14ac:dyDescent="0.35">
      <c r="A24" s="4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4">
        <v>45658</v>
      </c>
      <c r="B25" s="31"/>
      <c r="C25" s="31"/>
      <c r="D25" s="31"/>
      <c r="E25" s="5"/>
      <c r="F25" s="31" t="s">
        <v>4</v>
      </c>
      <c r="G25" s="31"/>
      <c r="H25" s="31"/>
      <c r="I25" s="6">
        <v>1690</v>
      </c>
    </row>
    <row r="26" spans="1:9" x14ac:dyDescent="0.35">
      <c r="A26" s="4">
        <v>45664</v>
      </c>
      <c r="B26" s="31"/>
      <c r="C26" s="31"/>
      <c r="D26" s="31"/>
      <c r="E26" s="5"/>
      <c r="F26" s="31" t="s">
        <v>98</v>
      </c>
      <c r="G26" s="31"/>
      <c r="H26" s="31"/>
      <c r="I26" s="6">
        <v>350</v>
      </c>
    </row>
    <row r="27" spans="1:9" x14ac:dyDescent="0.35">
      <c r="A27" s="4">
        <v>45666</v>
      </c>
      <c r="B27" s="31"/>
      <c r="C27" s="31"/>
      <c r="D27" s="31"/>
      <c r="E27" s="5"/>
      <c r="F27" s="31" t="s">
        <v>99</v>
      </c>
      <c r="G27" s="31"/>
      <c r="H27" s="31"/>
      <c r="I27" s="6">
        <v>350</v>
      </c>
    </row>
    <row r="28" spans="1:9" x14ac:dyDescent="0.35">
      <c r="A28" s="4">
        <v>45667</v>
      </c>
      <c r="B28" s="31" t="s">
        <v>93</v>
      </c>
      <c r="C28" s="31"/>
      <c r="D28" s="31"/>
      <c r="E28" s="5">
        <v>390</v>
      </c>
      <c r="F28" s="31"/>
      <c r="G28" s="31"/>
      <c r="H28" s="31"/>
      <c r="I28" s="6"/>
    </row>
    <row r="29" spans="1:9" x14ac:dyDescent="0.35">
      <c r="A29" s="3"/>
      <c r="B29" s="31" t="s">
        <v>94</v>
      </c>
      <c r="C29" s="31"/>
      <c r="D29" s="31"/>
      <c r="E29" s="5">
        <v>1220</v>
      </c>
      <c r="F29" s="31"/>
      <c r="G29" s="31"/>
      <c r="H29" s="31"/>
      <c r="I29" s="6"/>
    </row>
    <row r="30" spans="1:9" x14ac:dyDescent="0.35">
      <c r="A30" s="3"/>
      <c r="B30" s="31" t="s">
        <v>97</v>
      </c>
      <c r="C30" s="31"/>
      <c r="D30" s="31"/>
      <c r="E30" s="5">
        <v>80</v>
      </c>
      <c r="F30" s="31"/>
      <c r="G30" s="31"/>
      <c r="H30" s="31"/>
      <c r="I30" s="6"/>
    </row>
    <row r="31" spans="1:9" x14ac:dyDescent="0.35">
      <c r="A31" s="4">
        <v>45671</v>
      </c>
      <c r="B31" s="31"/>
      <c r="C31" s="31"/>
      <c r="D31" s="31"/>
      <c r="E31" s="5"/>
      <c r="F31" s="31" t="s">
        <v>102</v>
      </c>
      <c r="G31" s="31"/>
      <c r="H31" s="31"/>
      <c r="I31" s="6">
        <v>3020</v>
      </c>
    </row>
    <row r="32" spans="1:9" x14ac:dyDescent="0.35">
      <c r="A32" s="4">
        <v>45674</v>
      </c>
      <c r="B32" s="31" t="s">
        <v>99</v>
      </c>
      <c r="C32" s="31"/>
      <c r="D32" s="31"/>
      <c r="E32" s="5">
        <v>350</v>
      </c>
      <c r="F32" s="31"/>
      <c r="G32" s="31"/>
      <c r="H32" s="31"/>
      <c r="I32" s="6"/>
    </row>
    <row r="33" spans="1:14" x14ac:dyDescent="0.35">
      <c r="A33" s="4">
        <v>45679</v>
      </c>
      <c r="B33" s="31" t="s">
        <v>102</v>
      </c>
      <c r="C33" s="31"/>
      <c r="D33" s="31"/>
      <c r="E33" s="5">
        <v>3020</v>
      </c>
      <c r="F33" s="31"/>
      <c r="G33" s="31"/>
      <c r="H33" s="31"/>
      <c r="I33" s="6"/>
    </row>
    <row r="34" spans="1:14" x14ac:dyDescent="0.35">
      <c r="A34" s="3"/>
      <c r="B34" s="42" t="s">
        <v>29</v>
      </c>
      <c r="C34" s="42"/>
      <c r="D34" s="42"/>
      <c r="E34" s="20">
        <v>350</v>
      </c>
      <c r="F34" s="31"/>
      <c r="G34" s="31"/>
      <c r="H34" s="31"/>
      <c r="I34" s="6"/>
    </row>
    <row r="35" spans="1:14" ht="15.5" x14ac:dyDescent="0.45">
      <c r="A35" s="3"/>
      <c r="B35" s="31"/>
      <c r="C35" s="31"/>
      <c r="D35" s="31"/>
      <c r="E35" s="12">
        <v>5410</v>
      </c>
      <c r="F35" s="31"/>
      <c r="G35" s="31"/>
      <c r="H35" s="31"/>
      <c r="I35" s="11">
        <f>SUM(I25:I31)</f>
        <v>5410</v>
      </c>
    </row>
    <row r="36" spans="1:14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14" x14ac:dyDescent="0.35">
      <c r="A37" s="4">
        <v>45680</v>
      </c>
      <c r="B37" s="31"/>
      <c r="C37" s="31"/>
      <c r="D37" s="31"/>
      <c r="E37" s="5"/>
      <c r="F37" s="42" t="s">
        <v>179</v>
      </c>
      <c r="G37" s="42"/>
      <c r="H37" s="42"/>
      <c r="I37" s="15">
        <v>350</v>
      </c>
      <c r="N37" s="9"/>
    </row>
    <row r="38" spans="1:14" x14ac:dyDescent="0.35">
      <c r="A38" s="4">
        <v>45681</v>
      </c>
      <c r="B38" s="31"/>
      <c r="C38" s="31"/>
      <c r="D38" s="31"/>
      <c r="E38" s="5"/>
      <c r="F38" s="31" t="s">
        <v>115</v>
      </c>
      <c r="G38" s="31"/>
      <c r="H38" s="31"/>
      <c r="I38" s="6">
        <v>180</v>
      </c>
    </row>
    <row r="39" spans="1:14" x14ac:dyDescent="0.35">
      <c r="A39" s="4">
        <v>45686</v>
      </c>
      <c r="B39" s="31"/>
      <c r="C39" s="31"/>
      <c r="D39" s="31"/>
      <c r="E39" s="5"/>
      <c r="F39" s="31" t="s">
        <v>116</v>
      </c>
      <c r="G39" s="31"/>
      <c r="H39" s="31"/>
      <c r="I39" s="6">
        <v>3580</v>
      </c>
      <c r="M39" s="19"/>
    </row>
    <row r="40" spans="1:14" x14ac:dyDescent="0.35">
      <c r="A40" s="4">
        <v>45686</v>
      </c>
      <c r="B40" s="31"/>
      <c r="C40" s="31"/>
      <c r="D40" s="31"/>
      <c r="E40" s="5"/>
      <c r="F40" s="31" t="s">
        <v>117</v>
      </c>
      <c r="G40" s="31"/>
      <c r="H40" s="31"/>
      <c r="I40" s="6">
        <v>350</v>
      </c>
    </row>
    <row r="41" spans="1:14" x14ac:dyDescent="0.35">
      <c r="A41" s="4">
        <v>45693</v>
      </c>
      <c r="B41" s="31" t="s">
        <v>115</v>
      </c>
      <c r="C41" s="31"/>
      <c r="D41" s="31"/>
      <c r="E41" s="5">
        <v>180</v>
      </c>
      <c r="F41" s="31"/>
      <c r="G41" s="31"/>
      <c r="H41" s="31"/>
      <c r="I41" s="6"/>
    </row>
    <row r="42" spans="1:14" ht="15.5" x14ac:dyDescent="0.45">
      <c r="A42" s="3"/>
      <c r="B42" s="31" t="s">
        <v>116</v>
      </c>
      <c r="C42" s="31"/>
      <c r="D42" s="31"/>
      <c r="E42" s="5">
        <v>3580</v>
      </c>
      <c r="F42" s="31"/>
      <c r="G42" s="31"/>
      <c r="H42" s="31"/>
      <c r="I42" s="17"/>
    </row>
    <row r="43" spans="1:14" x14ac:dyDescent="0.35">
      <c r="A43" s="3"/>
      <c r="B43" s="31" t="s">
        <v>117</v>
      </c>
      <c r="C43" s="31"/>
      <c r="D43" s="31"/>
      <c r="E43" s="5">
        <v>350</v>
      </c>
      <c r="F43" s="31"/>
      <c r="G43" s="31"/>
      <c r="H43" s="31"/>
      <c r="I43" s="6"/>
    </row>
    <row r="44" spans="1:14" x14ac:dyDescent="0.35">
      <c r="A44" s="4">
        <v>45701</v>
      </c>
      <c r="B44" s="31"/>
      <c r="C44" s="31"/>
      <c r="D44" s="31"/>
      <c r="E44" s="5"/>
      <c r="F44" s="31" t="s">
        <v>140</v>
      </c>
      <c r="G44" s="31"/>
      <c r="H44" s="31"/>
      <c r="I44" s="6">
        <v>80</v>
      </c>
      <c r="M44" s="19"/>
    </row>
    <row r="45" spans="1:14" x14ac:dyDescent="0.35">
      <c r="A45" s="4">
        <v>45705</v>
      </c>
      <c r="B45" s="31"/>
      <c r="C45" s="31"/>
      <c r="D45" s="31"/>
      <c r="E45" s="5"/>
      <c r="F45" s="31" t="s">
        <v>141</v>
      </c>
      <c r="G45" s="31"/>
      <c r="H45" s="31"/>
      <c r="I45" s="6">
        <v>4240</v>
      </c>
    </row>
    <row r="46" spans="1:14" x14ac:dyDescent="0.35">
      <c r="A46" s="4">
        <v>45714</v>
      </c>
      <c r="B46" s="31" t="s">
        <v>166</v>
      </c>
      <c r="C46" s="31"/>
      <c r="D46" s="31"/>
      <c r="E46" s="5">
        <v>4240</v>
      </c>
      <c r="F46" s="31"/>
      <c r="G46" s="31"/>
      <c r="H46" s="31"/>
      <c r="I46" s="6"/>
      <c r="M46" s="9"/>
    </row>
    <row r="47" spans="1:14" x14ac:dyDescent="0.35">
      <c r="A47" s="4">
        <v>45715</v>
      </c>
      <c r="B47" s="33" t="s">
        <v>29</v>
      </c>
      <c r="C47" s="34"/>
      <c r="D47" s="35"/>
      <c r="E47" s="5">
        <v>430</v>
      </c>
      <c r="F47" s="31"/>
      <c r="G47" s="31"/>
      <c r="H47" s="31"/>
      <c r="I47" s="6"/>
    </row>
    <row r="48" spans="1:14" ht="15.5" x14ac:dyDescent="0.45">
      <c r="A48" s="4"/>
      <c r="B48" s="33"/>
      <c r="C48" s="34"/>
      <c r="D48" s="35"/>
      <c r="E48" s="12">
        <v>8780</v>
      </c>
      <c r="F48" s="31"/>
      <c r="G48" s="31"/>
      <c r="H48" s="31"/>
      <c r="I48" s="10">
        <f>SUM(I37:I45)</f>
        <v>8780</v>
      </c>
    </row>
    <row r="49" spans="1:9" x14ac:dyDescent="0.35">
      <c r="A49" s="4">
        <v>45716</v>
      </c>
      <c r="B49" s="33"/>
      <c r="C49" s="34"/>
      <c r="D49" s="35"/>
      <c r="E49" s="5"/>
      <c r="F49" s="42" t="s">
        <v>126</v>
      </c>
      <c r="G49" s="42"/>
      <c r="H49" s="42"/>
      <c r="I49" s="15">
        <v>430</v>
      </c>
    </row>
    <row r="50" spans="1:9" x14ac:dyDescent="0.35">
      <c r="A50" s="4"/>
      <c r="B50" s="33"/>
      <c r="C50" s="34"/>
      <c r="D50" s="35"/>
      <c r="E50" s="5"/>
      <c r="F50" s="31"/>
      <c r="G50" s="31"/>
      <c r="H50" s="31"/>
      <c r="I50" s="6"/>
    </row>
    <row r="51" spans="1:9" x14ac:dyDescent="0.35">
      <c r="A51" s="4">
        <v>45720</v>
      </c>
      <c r="B51" s="31"/>
      <c r="C51" s="31"/>
      <c r="D51" s="31"/>
      <c r="E51" s="5"/>
      <c r="F51" s="31" t="s">
        <v>147</v>
      </c>
      <c r="G51" s="31"/>
      <c r="H51" s="31"/>
      <c r="I51" s="6">
        <v>200</v>
      </c>
    </row>
    <row r="52" spans="1:9" x14ac:dyDescent="0.35">
      <c r="A52" s="4">
        <v>45720</v>
      </c>
      <c r="B52" s="31"/>
      <c r="C52" s="31"/>
      <c r="D52" s="31"/>
      <c r="E52" s="5"/>
      <c r="F52" s="31" t="s">
        <v>150</v>
      </c>
      <c r="G52" s="31"/>
      <c r="H52" s="31"/>
      <c r="I52" s="6">
        <v>620</v>
      </c>
    </row>
    <row r="53" spans="1:9" x14ac:dyDescent="0.35">
      <c r="A53" s="4">
        <v>45721</v>
      </c>
      <c r="B53" s="31"/>
      <c r="C53" s="31"/>
      <c r="D53" s="31"/>
      <c r="E53" s="5"/>
      <c r="F53" s="31" t="s">
        <v>151</v>
      </c>
      <c r="G53" s="31"/>
      <c r="H53" s="31"/>
      <c r="I53" s="6">
        <v>670</v>
      </c>
    </row>
    <row r="54" spans="1:9" x14ac:dyDescent="0.35">
      <c r="A54" s="4">
        <v>45728</v>
      </c>
      <c r="B54" s="31"/>
      <c r="C54" s="31"/>
      <c r="D54" s="31"/>
      <c r="E54" s="5"/>
      <c r="F54" s="31" t="s">
        <v>163</v>
      </c>
      <c r="G54" s="31"/>
      <c r="H54" s="31"/>
      <c r="I54" s="6">
        <v>470</v>
      </c>
    </row>
    <row r="55" spans="1:9" x14ac:dyDescent="0.35">
      <c r="A55" s="4">
        <v>45728</v>
      </c>
      <c r="B55" s="31"/>
      <c r="C55" s="31"/>
      <c r="D55" s="31"/>
      <c r="E55" s="5"/>
      <c r="F55" s="31" t="s">
        <v>164</v>
      </c>
      <c r="G55" s="31"/>
      <c r="H55" s="31"/>
      <c r="I55" s="6">
        <v>1140</v>
      </c>
    </row>
    <row r="56" spans="1:9" x14ac:dyDescent="0.35">
      <c r="A56" s="4">
        <v>45729</v>
      </c>
      <c r="B56" s="31"/>
      <c r="C56" s="31"/>
      <c r="D56" s="31"/>
      <c r="E56" s="5"/>
      <c r="F56" s="31" t="s">
        <v>165</v>
      </c>
      <c r="G56" s="31"/>
      <c r="H56" s="31"/>
      <c r="I56" s="6">
        <v>460</v>
      </c>
    </row>
    <row r="57" spans="1:9" x14ac:dyDescent="0.35">
      <c r="A57" s="4">
        <v>45730</v>
      </c>
      <c r="B57" s="31" t="s">
        <v>151</v>
      </c>
      <c r="C57" s="31"/>
      <c r="D57" s="31"/>
      <c r="E57" s="5">
        <v>670</v>
      </c>
      <c r="F57" s="31"/>
      <c r="G57" s="31"/>
      <c r="H57" s="31"/>
      <c r="I57" s="6"/>
    </row>
    <row r="58" spans="1:9" x14ac:dyDescent="0.35">
      <c r="A58" s="4"/>
      <c r="B58" s="31" t="s">
        <v>29</v>
      </c>
      <c r="C58" s="31"/>
      <c r="D58" s="31"/>
      <c r="E58" s="5">
        <v>3320</v>
      </c>
      <c r="F58" s="31"/>
      <c r="G58" s="31"/>
      <c r="H58" s="31"/>
      <c r="I58" s="6"/>
    </row>
    <row r="59" spans="1:9" ht="15.5" x14ac:dyDescent="0.45">
      <c r="A59" s="4"/>
      <c r="B59" s="31"/>
      <c r="C59" s="31"/>
      <c r="D59" s="31"/>
      <c r="E59" s="16">
        <v>3990</v>
      </c>
      <c r="F59" s="31"/>
      <c r="G59" s="31"/>
      <c r="H59" s="31"/>
      <c r="I59" s="17">
        <f>SUM(I49:I56)</f>
        <v>3990</v>
      </c>
    </row>
    <row r="60" spans="1:9" x14ac:dyDescent="0.35">
      <c r="A60" s="4"/>
      <c r="B60" s="31"/>
      <c r="C60" s="31"/>
      <c r="D60" s="31"/>
      <c r="E60" s="5"/>
      <c r="F60" s="31"/>
      <c r="G60" s="31"/>
      <c r="H60" s="31"/>
      <c r="I60" s="6"/>
    </row>
    <row r="61" spans="1:9" x14ac:dyDescent="0.35">
      <c r="A61" s="4">
        <v>45731</v>
      </c>
      <c r="B61" s="31"/>
      <c r="C61" s="31"/>
      <c r="D61" s="31"/>
      <c r="E61" s="5"/>
      <c r="F61" s="42" t="s">
        <v>4</v>
      </c>
      <c r="G61" s="42"/>
      <c r="H61" s="42"/>
      <c r="I61" s="15">
        <v>3320</v>
      </c>
    </row>
    <row r="62" spans="1:9" x14ac:dyDescent="0.35">
      <c r="A62" s="4">
        <v>45734</v>
      </c>
      <c r="B62" s="31"/>
      <c r="C62" s="31"/>
      <c r="D62" s="31"/>
      <c r="E62" s="5"/>
      <c r="F62" s="31" t="s">
        <v>177</v>
      </c>
      <c r="G62" s="31"/>
      <c r="H62" s="31"/>
      <c r="I62" s="6">
        <v>1250</v>
      </c>
    </row>
    <row r="63" spans="1:9" x14ac:dyDescent="0.35">
      <c r="A63" s="4">
        <v>45737</v>
      </c>
      <c r="B63" s="31" t="s">
        <v>176</v>
      </c>
      <c r="C63" s="31"/>
      <c r="D63" s="31"/>
      <c r="E63" s="5">
        <v>2070</v>
      </c>
      <c r="F63" s="31"/>
      <c r="G63" s="31"/>
      <c r="H63" s="31"/>
      <c r="I63" s="6"/>
    </row>
    <row r="64" spans="1:9" x14ac:dyDescent="0.35">
      <c r="A64" s="4">
        <v>45737</v>
      </c>
      <c r="B64" s="31" t="s">
        <v>29</v>
      </c>
      <c r="C64" s="31"/>
      <c r="D64" s="31"/>
      <c r="E64" s="5">
        <f>E65-E63</f>
        <v>2500</v>
      </c>
      <c r="F64" s="31"/>
      <c r="G64" s="31"/>
      <c r="H64" s="31"/>
      <c r="I64" s="6"/>
    </row>
    <row r="65" spans="1:13" ht="15.5" x14ac:dyDescent="0.45">
      <c r="A65" s="4"/>
      <c r="B65" s="31"/>
      <c r="C65" s="31"/>
      <c r="D65" s="31"/>
      <c r="E65" s="16">
        <v>4570</v>
      </c>
      <c r="F65" s="31"/>
      <c r="G65" s="31"/>
      <c r="H65" s="31"/>
      <c r="I65" s="17">
        <f>SUM(I61:I62)</f>
        <v>4570</v>
      </c>
    </row>
    <row r="66" spans="1:13" x14ac:dyDescent="0.35">
      <c r="A66" s="4"/>
      <c r="B66" s="31"/>
      <c r="C66" s="31"/>
      <c r="D66" s="31"/>
      <c r="E66" s="5"/>
      <c r="F66" s="31"/>
      <c r="G66" s="31"/>
      <c r="H66" s="31"/>
      <c r="I66" s="6"/>
    </row>
    <row r="67" spans="1:13" x14ac:dyDescent="0.35">
      <c r="A67" s="4"/>
      <c r="B67" s="31"/>
      <c r="C67" s="31"/>
      <c r="D67" s="31"/>
      <c r="E67" s="5"/>
      <c r="F67" s="42" t="s">
        <v>126</v>
      </c>
      <c r="G67" s="42"/>
      <c r="H67" s="42"/>
      <c r="I67" s="15">
        <v>2500</v>
      </c>
    </row>
    <row r="68" spans="1:13" x14ac:dyDescent="0.35">
      <c r="A68" s="4">
        <v>45742</v>
      </c>
      <c r="B68" s="31" t="s">
        <v>177</v>
      </c>
      <c r="C68" s="31"/>
      <c r="D68" s="31"/>
      <c r="E68" s="5">
        <v>1250</v>
      </c>
      <c r="F68" s="31"/>
      <c r="G68" s="31"/>
      <c r="H68" s="31"/>
      <c r="I68" s="6"/>
    </row>
    <row r="69" spans="1:13" x14ac:dyDescent="0.35">
      <c r="A69" s="4">
        <v>45743</v>
      </c>
      <c r="B69" s="31"/>
      <c r="C69" s="31"/>
      <c r="D69" s="31"/>
      <c r="E69" s="5"/>
      <c r="F69" s="31" t="s">
        <v>182</v>
      </c>
      <c r="G69" s="31"/>
      <c r="H69" s="31"/>
      <c r="I69" s="6">
        <v>300</v>
      </c>
    </row>
    <row r="70" spans="1:13" x14ac:dyDescent="0.35">
      <c r="A70" s="4">
        <v>45743</v>
      </c>
      <c r="B70" s="31"/>
      <c r="C70" s="31"/>
      <c r="D70" s="31"/>
      <c r="E70" s="5"/>
      <c r="F70" s="31" t="s">
        <v>183</v>
      </c>
      <c r="G70" s="31"/>
      <c r="H70" s="31"/>
      <c r="I70" s="6">
        <v>630</v>
      </c>
    </row>
    <row r="71" spans="1:13" x14ac:dyDescent="0.35">
      <c r="A71" s="4">
        <v>45749</v>
      </c>
      <c r="B71" s="31" t="s">
        <v>182</v>
      </c>
      <c r="C71" s="31"/>
      <c r="D71" s="31"/>
      <c r="E71" s="5">
        <v>300</v>
      </c>
      <c r="F71" s="31"/>
      <c r="G71" s="31"/>
      <c r="H71" s="31"/>
      <c r="I71" s="6"/>
      <c r="M71" s="9">
        <f>SUM(E68:E72)</f>
        <v>2180</v>
      </c>
    </row>
    <row r="72" spans="1:13" x14ac:dyDescent="0.35">
      <c r="A72" s="4"/>
      <c r="B72" s="31" t="s">
        <v>183</v>
      </c>
      <c r="C72" s="31"/>
      <c r="D72" s="31"/>
      <c r="E72" s="5">
        <v>630</v>
      </c>
      <c r="F72" s="31"/>
      <c r="G72" s="31"/>
      <c r="H72" s="31"/>
      <c r="I72" s="6"/>
    </row>
    <row r="73" spans="1:13" x14ac:dyDescent="0.35">
      <c r="A73" s="4"/>
      <c r="B73" s="31" t="s">
        <v>29</v>
      </c>
      <c r="C73" s="31"/>
      <c r="D73" s="31"/>
      <c r="E73" s="5">
        <f>E74-M71</f>
        <v>1250</v>
      </c>
      <c r="F73" s="31"/>
      <c r="G73" s="31"/>
      <c r="H73" s="31"/>
      <c r="I73" s="6"/>
    </row>
    <row r="74" spans="1:13" ht="15.5" x14ac:dyDescent="0.45">
      <c r="A74" s="4"/>
      <c r="B74" s="31"/>
      <c r="C74" s="31"/>
      <c r="D74" s="31"/>
      <c r="E74" s="12">
        <v>3430</v>
      </c>
      <c r="F74" s="31"/>
      <c r="G74" s="31"/>
      <c r="H74" s="31"/>
      <c r="I74" s="11">
        <f>SUM(I67:I70)</f>
        <v>3430</v>
      </c>
    </row>
    <row r="75" spans="1:13" x14ac:dyDescent="0.35">
      <c r="A75" s="4"/>
      <c r="B75" s="31"/>
      <c r="C75" s="31"/>
      <c r="D75" s="31"/>
      <c r="E75" s="5"/>
      <c r="F75" s="31"/>
      <c r="G75" s="31"/>
      <c r="H75" s="31"/>
      <c r="I75" s="6"/>
    </row>
    <row r="76" spans="1:13" x14ac:dyDescent="0.35">
      <c r="A76" s="4"/>
      <c r="B76" s="31"/>
      <c r="C76" s="31"/>
      <c r="D76" s="31"/>
      <c r="E76" s="5"/>
      <c r="F76" s="42" t="s">
        <v>126</v>
      </c>
      <c r="G76" s="42"/>
      <c r="H76" s="42"/>
      <c r="I76" s="15">
        <v>1250</v>
      </c>
    </row>
    <row r="77" spans="1:13" x14ac:dyDescent="0.35">
      <c r="A77" s="4">
        <v>45754</v>
      </c>
      <c r="B77" s="31"/>
      <c r="C77" s="31"/>
      <c r="D77" s="31"/>
      <c r="E77" s="5"/>
      <c r="F77" s="31" t="s">
        <v>189</v>
      </c>
      <c r="G77" s="31"/>
      <c r="H77" s="31"/>
      <c r="I77" s="6">
        <v>2500</v>
      </c>
    </row>
    <row r="78" spans="1:13" x14ac:dyDescent="0.35">
      <c r="A78" s="4">
        <v>45754</v>
      </c>
      <c r="B78" s="31"/>
      <c r="C78" s="31"/>
      <c r="D78" s="31"/>
      <c r="E78" s="5"/>
      <c r="F78" s="31" t="s">
        <v>190</v>
      </c>
      <c r="G78" s="31"/>
      <c r="H78" s="31"/>
      <c r="I78" s="6">
        <v>1880</v>
      </c>
    </row>
    <row r="79" spans="1:13" x14ac:dyDescent="0.35">
      <c r="A79" s="4">
        <v>45769</v>
      </c>
      <c r="B79" s="31"/>
      <c r="C79" s="31"/>
      <c r="D79" s="31"/>
      <c r="E79" s="5"/>
      <c r="F79" s="31" t="s">
        <v>198</v>
      </c>
      <c r="G79" s="31"/>
      <c r="H79" s="31"/>
      <c r="I79" s="6">
        <v>370</v>
      </c>
    </row>
    <row r="80" spans="1:13" x14ac:dyDescent="0.35">
      <c r="A80" s="4">
        <v>45770</v>
      </c>
      <c r="B80" s="31" t="s">
        <v>98</v>
      </c>
      <c r="C80" s="31"/>
      <c r="D80" s="31"/>
      <c r="E80" s="5">
        <v>350</v>
      </c>
      <c r="F80" s="31"/>
      <c r="G80" s="31"/>
      <c r="H80" s="31"/>
      <c r="I80" s="6"/>
    </row>
    <row r="81" spans="1:13" x14ac:dyDescent="0.35">
      <c r="A81" s="4"/>
      <c r="B81" s="31" t="s">
        <v>147</v>
      </c>
      <c r="C81" s="31"/>
      <c r="D81" s="31"/>
      <c r="E81" s="6">
        <v>200</v>
      </c>
      <c r="F81" s="31"/>
      <c r="G81" s="31"/>
      <c r="H81" s="31"/>
      <c r="I81" s="6"/>
    </row>
    <row r="82" spans="1:13" x14ac:dyDescent="0.35">
      <c r="A82" s="4"/>
      <c r="B82" s="31" t="s">
        <v>150</v>
      </c>
      <c r="C82" s="31"/>
      <c r="D82" s="31"/>
      <c r="E82" s="6">
        <v>620</v>
      </c>
      <c r="F82" s="31"/>
      <c r="G82" s="31"/>
      <c r="H82" s="31"/>
      <c r="I82" s="6"/>
    </row>
    <row r="83" spans="1:13" x14ac:dyDescent="0.35">
      <c r="A83" s="4"/>
      <c r="B83" s="31" t="s">
        <v>189</v>
      </c>
      <c r="C83" s="31"/>
      <c r="D83" s="31"/>
      <c r="E83" s="6">
        <v>2500</v>
      </c>
      <c r="F83" s="31"/>
      <c r="G83" s="31"/>
      <c r="H83" s="31"/>
      <c r="I83" s="6"/>
    </row>
    <row r="84" spans="1:13" x14ac:dyDescent="0.35">
      <c r="A84" s="4"/>
      <c r="B84" s="31" t="s">
        <v>190</v>
      </c>
      <c r="C84" s="31"/>
      <c r="D84" s="31"/>
      <c r="E84" s="6">
        <v>1880</v>
      </c>
      <c r="F84" s="31"/>
      <c r="G84" s="31"/>
      <c r="H84" s="31"/>
      <c r="I84" s="6"/>
      <c r="M84" s="9">
        <f>SUM(E80:E84)</f>
        <v>5550</v>
      </c>
    </row>
    <row r="85" spans="1:13" x14ac:dyDescent="0.35">
      <c r="A85" s="4">
        <v>45770</v>
      </c>
      <c r="B85" s="31" t="s">
        <v>29</v>
      </c>
      <c r="C85" s="31"/>
      <c r="D85" s="31"/>
      <c r="E85" s="5">
        <f>E86-M84</f>
        <v>450</v>
      </c>
      <c r="F85" s="31"/>
      <c r="G85" s="31"/>
      <c r="H85" s="31"/>
      <c r="I85" s="6"/>
    </row>
    <row r="86" spans="1:13" ht="15.5" x14ac:dyDescent="0.45">
      <c r="A86" s="4"/>
      <c r="B86" s="31"/>
      <c r="C86" s="31"/>
      <c r="D86" s="31"/>
      <c r="E86" s="12">
        <v>6000</v>
      </c>
      <c r="F86" s="31"/>
      <c r="G86" s="31"/>
      <c r="H86" s="31"/>
      <c r="I86" s="11">
        <f>SUM(I76:I79)</f>
        <v>6000</v>
      </c>
    </row>
    <row r="87" spans="1:13" x14ac:dyDescent="0.35">
      <c r="A87" s="4"/>
      <c r="B87" s="31"/>
      <c r="C87" s="31"/>
      <c r="D87" s="31"/>
      <c r="E87" s="5"/>
      <c r="F87" s="31"/>
      <c r="G87" s="31"/>
      <c r="H87" s="31"/>
      <c r="I87" s="6"/>
    </row>
    <row r="88" spans="1:13" x14ac:dyDescent="0.35">
      <c r="A88" s="4">
        <v>45772</v>
      </c>
      <c r="B88" s="31"/>
      <c r="C88" s="31"/>
      <c r="D88" s="31"/>
      <c r="E88" s="5"/>
      <c r="F88" s="31" t="s">
        <v>4</v>
      </c>
      <c r="G88" s="31"/>
      <c r="H88" s="31"/>
      <c r="I88" s="6">
        <v>450</v>
      </c>
    </row>
    <row r="89" spans="1:13" x14ac:dyDescent="0.35">
      <c r="A89" s="4">
        <v>45772</v>
      </c>
      <c r="B89" s="31" t="s">
        <v>140</v>
      </c>
      <c r="C89" s="31"/>
      <c r="D89" s="31"/>
      <c r="E89" s="5">
        <v>80</v>
      </c>
      <c r="F89" s="31"/>
      <c r="G89" s="31"/>
      <c r="H89" s="31"/>
      <c r="I89" s="6"/>
    </row>
    <row r="90" spans="1:13" x14ac:dyDescent="0.35">
      <c r="A90" s="4">
        <v>45776</v>
      </c>
      <c r="B90" s="31"/>
      <c r="C90" s="31"/>
      <c r="D90" s="31"/>
      <c r="E90" s="5"/>
      <c r="F90" s="31" t="s">
        <v>205</v>
      </c>
      <c r="G90" s="31"/>
      <c r="H90" s="31"/>
      <c r="I90" s="6">
        <v>500</v>
      </c>
    </row>
    <row r="91" spans="1:13" x14ac:dyDescent="0.35">
      <c r="A91" s="4"/>
      <c r="B91" s="31"/>
      <c r="C91" s="31"/>
      <c r="D91" s="31"/>
      <c r="E91" s="5"/>
      <c r="F91" s="31" t="s">
        <v>206</v>
      </c>
      <c r="G91" s="31"/>
      <c r="H91" s="31"/>
      <c r="I91" s="6">
        <v>300</v>
      </c>
    </row>
    <row r="92" spans="1:13" x14ac:dyDescent="0.35">
      <c r="A92" s="4">
        <v>45777</v>
      </c>
      <c r="B92" s="31" t="s">
        <v>198</v>
      </c>
      <c r="C92" s="31"/>
      <c r="D92" s="31"/>
      <c r="E92" s="5">
        <v>370</v>
      </c>
      <c r="F92" s="31"/>
      <c r="G92" s="31"/>
      <c r="H92" s="31"/>
      <c r="I92" s="6"/>
    </row>
    <row r="93" spans="1:13" x14ac:dyDescent="0.35">
      <c r="A93" s="4">
        <v>45790</v>
      </c>
      <c r="B93" s="31"/>
      <c r="C93" s="31"/>
      <c r="D93" s="31"/>
      <c r="E93" s="5"/>
      <c r="F93" s="31" t="s">
        <v>216</v>
      </c>
      <c r="G93" s="31"/>
      <c r="H93" s="31"/>
      <c r="I93" s="6">
        <v>550</v>
      </c>
    </row>
    <row r="94" spans="1:13" x14ac:dyDescent="0.35">
      <c r="A94" s="4">
        <v>45792</v>
      </c>
      <c r="B94" s="31"/>
      <c r="C94" s="31"/>
      <c r="D94" s="31"/>
      <c r="E94" s="5"/>
      <c r="F94" s="31" t="s">
        <v>217</v>
      </c>
      <c r="G94" s="31"/>
      <c r="H94" s="31"/>
      <c r="I94" s="6">
        <v>1100</v>
      </c>
      <c r="M94" s="9">
        <f>SUM(E89:E92)</f>
        <v>450</v>
      </c>
    </row>
    <row r="95" spans="1:13" x14ac:dyDescent="0.35">
      <c r="A95" s="4">
        <v>45792</v>
      </c>
      <c r="B95" s="31" t="s">
        <v>29</v>
      </c>
      <c r="C95" s="31"/>
      <c r="D95" s="31"/>
      <c r="E95" s="5">
        <f>E96-M94</f>
        <v>2450</v>
      </c>
      <c r="F95" s="31"/>
      <c r="G95" s="31"/>
      <c r="H95" s="31"/>
      <c r="I95" s="6"/>
    </row>
    <row r="96" spans="1:13" ht="15.5" x14ac:dyDescent="0.45">
      <c r="A96" s="4"/>
      <c r="B96" s="31"/>
      <c r="C96" s="31"/>
      <c r="D96" s="31"/>
      <c r="E96" s="12">
        <f>I96</f>
        <v>2900</v>
      </c>
      <c r="F96" s="31"/>
      <c r="G96" s="31"/>
      <c r="H96" s="31"/>
      <c r="I96" s="11">
        <f>SUM(I88:I94)</f>
        <v>2900</v>
      </c>
    </row>
    <row r="97" spans="1:9" x14ac:dyDescent="0.35">
      <c r="A97" s="4"/>
      <c r="B97" s="31"/>
      <c r="C97" s="31"/>
      <c r="D97" s="31"/>
      <c r="E97" s="5"/>
      <c r="F97" s="31"/>
      <c r="G97" s="31"/>
      <c r="H97" s="31"/>
      <c r="I97" s="6"/>
    </row>
    <row r="98" spans="1:9" x14ac:dyDescent="0.35">
      <c r="A98" s="4">
        <v>45793</v>
      </c>
      <c r="B98" s="31"/>
      <c r="C98" s="31"/>
      <c r="D98" s="31"/>
      <c r="E98" s="5"/>
      <c r="F98" s="42" t="s">
        <v>126</v>
      </c>
      <c r="G98" s="42"/>
      <c r="H98" s="42"/>
      <c r="I98" s="15">
        <f>E95</f>
        <v>2450</v>
      </c>
    </row>
    <row r="99" spans="1:9" x14ac:dyDescent="0.35">
      <c r="A99" s="4">
        <v>45798</v>
      </c>
      <c r="B99" s="31" t="s">
        <v>216</v>
      </c>
      <c r="C99" s="31"/>
      <c r="D99" s="31"/>
      <c r="E99" s="5">
        <v>550</v>
      </c>
      <c r="F99" s="31"/>
      <c r="G99" s="31"/>
      <c r="H99" s="31"/>
      <c r="I99" s="6"/>
    </row>
    <row r="100" spans="1:9" x14ac:dyDescent="0.35">
      <c r="A100" s="4"/>
      <c r="B100" s="31" t="s">
        <v>217</v>
      </c>
      <c r="C100" s="31"/>
      <c r="D100" s="31"/>
      <c r="E100" s="5">
        <v>1100</v>
      </c>
      <c r="F100" s="31"/>
      <c r="G100" s="31"/>
      <c r="H100" s="31"/>
      <c r="I100" s="6"/>
    </row>
    <row r="101" spans="1:9" x14ac:dyDescent="0.35">
      <c r="A101" s="4"/>
      <c r="B101" s="31"/>
      <c r="C101" s="31"/>
      <c r="D101" s="31"/>
      <c r="E101" s="5"/>
      <c r="F101" s="31"/>
      <c r="G101" s="31"/>
      <c r="H101" s="31"/>
      <c r="I101" s="6"/>
    </row>
    <row r="102" spans="1:9" x14ac:dyDescent="0.35">
      <c r="A102" s="4"/>
      <c r="B102" s="31"/>
      <c r="C102" s="31"/>
      <c r="D102" s="31"/>
      <c r="E102" s="5"/>
      <c r="F102" s="31"/>
      <c r="G102" s="31"/>
      <c r="H102" s="31"/>
      <c r="I102" s="6"/>
    </row>
    <row r="103" spans="1:9" x14ac:dyDescent="0.35">
      <c r="A103" s="4"/>
      <c r="B103" s="31"/>
      <c r="C103" s="31"/>
      <c r="D103" s="31"/>
      <c r="E103" s="5"/>
      <c r="F103" s="31"/>
      <c r="G103" s="31"/>
      <c r="H103" s="31"/>
      <c r="I103" s="6"/>
    </row>
    <row r="104" spans="1:9" x14ac:dyDescent="0.35">
      <c r="A104" s="4"/>
      <c r="B104" s="31"/>
      <c r="C104" s="31"/>
      <c r="D104" s="31"/>
      <c r="E104" s="5"/>
      <c r="F104" s="31"/>
      <c r="G104" s="31"/>
      <c r="H104" s="31"/>
      <c r="I104" s="6"/>
    </row>
    <row r="105" spans="1:9" x14ac:dyDescent="0.35">
      <c r="A105" s="4"/>
      <c r="B105" s="31"/>
      <c r="C105" s="31"/>
      <c r="D105" s="31"/>
      <c r="E105" s="5"/>
      <c r="F105" s="31"/>
      <c r="G105" s="31"/>
      <c r="H105" s="31"/>
      <c r="I105" s="6"/>
    </row>
    <row r="106" spans="1:9" x14ac:dyDescent="0.35">
      <c r="A106" s="4"/>
      <c r="B106" s="31"/>
      <c r="C106" s="31"/>
      <c r="D106" s="31"/>
      <c r="E106" s="5"/>
      <c r="F106" s="31"/>
      <c r="G106" s="31"/>
      <c r="H106" s="31"/>
      <c r="I106" s="6"/>
    </row>
    <row r="107" spans="1:9" x14ac:dyDescent="0.35">
      <c r="A107" s="4"/>
      <c r="B107" s="31"/>
      <c r="C107" s="31"/>
      <c r="D107" s="31"/>
      <c r="E107" s="5"/>
      <c r="F107" s="31"/>
      <c r="G107" s="31"/>
      <c r="H107" s="31"/>
      <c r="I107" s="6"/>
    </row>
    <row r="108" spans="1:9" x14ac:dyDescent="0.35">
      <c r="A108" s="4"/>
      <c r="B108" s="31"/>
      <c r="C108" s="31"/>
      <c r="D108" s="31"/>
      <c r="E108" s="5"/>
      <c r="F108" s="31"/>
      <c r="G108" s="31"/>
      <c r="H108" s="31"/>
      <c r="I108" s="6"/>
    </row>
    <row r="109" spans="1:9" x14ac:dyDescent="0.35">
      <c r="A109" s="4"/>
      <c r="B109" s="31"/>
      <c r="C109" s="31"/>
      <c r="D109" s="31"/>
      <c r="E109" s="5"/>
      <c r="F109" s="31"/>
      <c r="G109" s="31"/>
      <c r="H109" s="31"/>
      <c r="I109" s="6"/>
    </row>
    <row r="110" spans="1:9" x14ac:dyDescent="0.35">
      <c r="A110" s="4"/>
      <c r="B110" s="31"/>
      <c r="C110" s="31"/>
      <c r="D110" s="31"/>
      <c r="E110" s="5"/>
      <c r="F110" s="31"/>
      <c r="G110" s="31"/>
      <c r="H110" s="31"/>
      <c r="I110" s="6"/>
    </row>
    <row r="111" spans="1:9" x14ac:dyDescent="0.35">
      <c r="A111" s="4"/>
      <c r="B111" s="31"/>
      <c r="C111" s="31"/>
      <c r="D111" s="31"/>
      <c r="E111" s="5"/>
      <c r="F111" s="31"/>
      <c r="G111" s="31"/>
      <c r="H111" s="31"/>
      <c r="I111" s="6"/>
    </row>
    <row r="112" spans="1:9" x14ac:dyDescent="0.35">
      <c r="A112" s="4"/>
      <c r="B112" s="31"/>
      <c r="C112" s="31"/>
      <c r="D112" s="31"/>
      <c r="E112" s="5"/>
      <c r="F112" s="31"/>
      <c r="G112" s="31"/>
      <c r="H112" s="31"/>
      <c r="I112" s="6"/>
    </row>
    <row r="113" spans="1:9" x14ac:dyDescent="0.35">
      <c r="A113" s="4"/>
      <c r="B113" s="31"/>
      <c r="C113" s="31"/>
      <c r="D113" s="31"/>
      <c r="E113" s="5"/>
      <c r="F113" s="31"/>
      <c r="G113" s="31"/>
      <c r="H113" s="31"/>
      <c r="I113" s="6"/>
    </row>
    <row r="114" spans="1:9" x14ac:dyDescent="0.35">
      <c r="A114" s="4"/>
      <c r="B114" s="31"/>
      <c r="C114" s="31"/>
      <c r="D114" s="31"/>
      <c r="E114" s="5"/>
      <c r="F114" s="31"/>
      <c r="G114" s="31"/>
      <c r="H114" s="31"/>
      <c r="I114" s="6"/>
    </row>
    <row r="115" spans="1:9" x14ac:dyDescent="0.35">
      <c r="A115" s="4"/>
      <c r="B115" s="31"/>
      <c r="C115" s="31"/>
      <c r="D115" s="31"/>
      <c r="E115" s="5"/>
      <c r="F115" s="31"/>
      <c r="G115" s="31"/>
      <c r="H115" s="31"/>
      <c r="I115" s="6"/>
    </row>
    <row r="116" spans="1:9" x14ac:dyDescent="0.35">
      <c r="A116" s="4"/>
      <c r="B116" s="31"/>
      <c r="C116" s="31"/>
      <c r="D116" s="31"/>
      <c r="E116" s="5"/>
      <c r="F116" s="31"/>
      <c r="G116" s="31"/>
      <c r="H116" s="31"/>
      <c r="I116" s="6"/>
    </row>
    <row r="117" spans="1:9" x14ac:dyDescent="0.35">
      <c r="A117" s="4"/>
      <c r="B117" s="31"/>
      <c r="C117" s="31"/>
      <c r="D117" s="31"/>
      <c r="E117" s="5"/>
      <c r="F117" s="31"/>
      <c r="G117" s="31"/>
      <c r="H117" s="31"/>
      <c r="I117" s="6"/>
    </row>
    <row r="118" spans="1:9" x14ac:dyDescent="0.35">
      <c r="A118" s="4"/>
      <c r="B118" s="31"/>
      <c r="C118" s="31"/>
      <c r="D118" s="31"/>
      <c r="E118" s="5"/>
      <c r="F118" s="31"/>
      <c r="G118" s="31"/>
      <c r="H118" s="31"/>
      <c r="I118" s="6"/>
    </row>
    <row r="119" spans="1:9" x14ac:dyDescent="0.35">
      <c r="A119" s="4"/>
      <c r="B119" s="31"/>
      <c r="C119" s="31"/>
      <c r="D119" s="31"/>
      <c r="E119" s="5"/>
      <c r="F119" s="31"/>
      <c r="G119" s="31"/>
      <c r="H119" s="31"/>
      <c r="I119" s="6"/>
    </row>
    <row r="120" spans="1:9" x14ac:dyDescent="0.35">
      <c r="A120" s="4"/>
      <c r="B120" s="31"/>
      <c r="C120" s="31"/>
      <c r="D120" s="31"/>
      <c r="E120" s="5"/>
      <c r="F120" s="31"/>
      <c r="G120" s="31"/>
      <c r="H120" s="31"/>
      <c r="I120" s="6"/>
    </row>
    <row r="121" spans="1:9" x14ac:dyDescent="0.35">
      <c r="A121" s="4"/>
      <c r="B121" s="31"/>
      <c r="C121" s="31"/>
      <c r="D121" s="31"/>
      <c r="E121" s="5"/>
      <c r="F121" s="31"/>
      <c r="G121" s="31"/>
      <c r="H121" s="31"/>
      <c r="I121" s="6"/>
    </row>
    <row r="122" spans="1:9" x14ac:dyDescent="0.35">
      <c r="A122" s="4"/>
      <c r="B122" s="31"/>
      <c r="C122" s="31"/>
      <c r="D122" s="31"/>
      <c r="E122" s="5"/>
      <c r="F122" s="31"/>
      <c r="G122" s="31"/>
      <c r="H122" s="31"/>
      <c r="I122" s="6"/>
    </row>
    <row r="123" spans="1:9" x14ac:dyDescent="0.35">
      <c r="A123" s="4"/>
      <c r="B123" s="31"/>
      <c r="C123" s="31"/>
      <c r="D123" s="31"/>
      <c r="E123" s="5"/>
      <c r="F123" s="31"/>
      <c r="G123" s="31"/>
      <c r="H123" s="31"/>
      <c r="I123" s="6"/>
    </row>
    <row r="124" spans="1:9" x14ac:dyDescent="0.35">
      <c r="A124" s="4"/>
      <c r="B124" s="31"/>
      <c r="C124" s="31"/>
      <c r="D124" s="31"/>
      <c r="E124" s="5"/>
      <c r="F124" s="31"/>
      <c r="G124" s="31"/>
      <c r="H124" s="31"/>
      <c r="I124" s="6"/>
    </row>
    <row r="125" spans="1:9" x14ac:dyDescent="0.35">
      <c r="A125" s="4"/>
      <c r="B125" s="31"/>
      <c r="C125" s="31"/>
      <c r="D125" s="31"/>
      <c r="E125" s="5"/>
      <c r="F125" s="31"/>
      <c r="G125" s="31"/>
      <c r="H125" s="31"/>
      <c r="I125" s="6"/>
    </row>
    <row r="126" spans="1:9" x14ac:dyDescent="0.35">
      <c r="A126" s="4"/>
      <c r="B126" s="31"/>
      <c r="C126" s="31"/>
      <c r="D126" s="31"/>
      <c r="E126" s="5"/>
      <c r="F126" s="31"/>
      <c r="G126" s="31"/>
      <c r="H126" s="31"/>
      <c r="I126" s="6"/>
    </row>
    <row r="127" spans="1:9" x14ac:dyDescent="0.35">
      <c r="A127" s="4"/>
      <c r="B127" s="31"/>
      <c r="C127" s="31"/>
      <c r="D127" s="31"/>
      <c r="E127" s="5"/>
      <c r="F127" s="31"/>
      <c r="G127" s="31"/>
      <c r="H127" s="31"/>
      <c r="I127" s="6"/>
    </row>
    <row r="128" spans="1:9" x14ac:dyDescent="0.35">
      <c r="A128" s="4"/>
      <c r="B128" s="31"/>
      <c r="C128" s="31"/>
      <c r="D128" s="31"/>
      <c r="E128" s="5"/>
      <c r="F128" s="31"/>
      <c r="G128" s="31"/>
      <c r="H128" s="31"/>
      <c r="I128" s="6"/>
    </row>
    <row r="129" spans="1:9" x14ac:dyDescent="0.35">
      <c r="A129" s="4"/>
      <c r="B129" s="31"/>
      <c r="C129" s="31"/>
      <c r="D129" s="31"/>
      <c r="E129" s="5"/>
      <c r="F129" s="31"/>
      <c r="G129" s="31"/>
      <c r="H129" s="31"/>
      <c r="I129" s="6"/>
    </row>
    <row r="130" spans="1:9" x14ac:dyDescent="0.35">
      <c r="A130" s="4"/>
      <c r="B130" s="31"/>
      <c r="C130" s="31"/>
      <c r="D130" s="31"/>
      <c r="E130" s="5"/>
      <c r="F130" s="31"/>
      <c r="G130" s="31"/>
      <c r="H130" s="31"/>
      <c r="I130" s="6"/>
    </row>
    <row r="131" spans="1:9" x14ac:dyDescent="0.35">
      <c r="A131" s="4"/>
      <c r="B131" s="31"/>
      <c r="C131" s="31"/>
      <c r="D131" s="31"/>
      <c r="E131" s="5"/>
      <c r="F131" s="31"/>
      <c r="G131" s="31"/>
      <c r="H131" s="31"/>
      <c r="I131" s="6"/>
    </row>
    <row r="132" spans="1:9" x14ac:dyDescent="0.35">
      <c r="A132" s="4"/>
      <c r="B132" s="31"/>
      <c r="C132" s="31"/>
      <c r="D132" s="31"/>
      <c r="E132" s="5"/>
      <c r="F132" s="31"/>
      <c r="G132" s="31"/>
      <c r="H132" s="31"/>
      <c r="I132" s="6"/>
    </row>
    <row r="133" spans="1:9" x14ac:dyDescent="0.35">
      <c r="A133" s="4"/>
      <c r="B133" s="31"/>
      <c r="C133" s="31"/>
      <c r="D133" s="31"/>
      <c r="E133" s="5"/>
      <c r="F133" s="31"/>
      <c r="G133" s="31"/>
      <c r="H133" s="31"/>
      <c r="I133" s="6"/>
    </row>
    <row r="134" spans="1:9" x14ac:dyDescent="0.35">
      <c r="A134" s="4"/>
      <c r="B134" s="31"/>
      <c r="C134" s="31"/>
      <c r="D134" s="31"/>
      <c r="E134" s="5"/>
      <c r="F134" s="31"/>
      <c r="G134" s="31"/>
      <c r="H134" s="31"/>
      <c r="I134" s="6"/>
    </row>
    <row r="135" spans="1:9" x14ac:dyDescent="0.35">
      <c r="A135" s="4"/>
      <c r="B135" s="31"/>
      <c r="C135" s="31"/>
      <c r="D135" s="31"/>
      <c r="E135" s="5"/>
      <c r="F135" s="31"/>
      <c r="G135" s="31"/>
      <c r="H135" s="31"/>
      <c r="I135" s="6"/>
    </row>
    <row r="136" spans="1:9" x14ac:dyDescent="0.35">
      <c r="A136" s="4"/>
      <c r="B136" s="31"/>
      <c r="C136" s="31"/>
      <c r="D136" s="31"/>
      <c r="E136" s="5"/>
      <c r="F136" s="31"/>
      <c r="G136" s="31"/>
      <c r="H136" s="31"/>
      <c r="I136" s="6"/>
    </row>
    <row r="137" spans="1:9" x14ac:dyDescent="0.35">
      <c r="A137" s="4"/>
      <c r="B137" s="31"/>
      <c r="C137" s="31"/>
      <c r="D137" s="31"/>
      <c r="E137" s="5"/>
      <c r="F137" s="31"/>
      <c r="G137" s="31"/>
      <c r="H137" s="31"/>
      <c r="I137" s="6"/>
    </row>
    <row r="138" spans="1:9" x14ac:dyDescent="0.35">
      <c r="A138" s="4"/>
      <c r="B138" s="31"/>
      <c r="C138" s="31"/>
      <c r="D138" s="31"/>
      <c r="E138" s="5"/>
      <c r="F138" s="31"/>
      <c r="G138" s="31"/>
      <c r="H138" s="31"/>
      <c r="I138" s="6"/>
    </row>
    <row r="139" spans="1:9" x14ac:dyDescent="0.35">
      <c r="A139" s="4"/>
      <c r="B139" s="31"/>
      <c r="C139" s="31"/>
      <c r="D139" s="31"/>
      <c r="E139" s="5"/>
      <c r="F139" s="31"/>
      <c r="G139" s="31"/>
      <c r="H139" s="31"/>
      <c r="I139" s="6"/>
    </row>
    <row r="140" spans="1:9" x14ac:dyDescent="0.35">
      <c r="A140" s="4"/>
      <c r="B140" s="31"/>
      <c r="C140" s="31"/>
      <c r="D140" s="31"/>
      <c r="E140" s="5"/>
      <c r="F140" s="31"/>
      <c r="G140" s="31"/>
      <c r="H140" s="31"/>
      <c r="I140" s="6"/>
    </row>
    <row r="141" spans="1:9" x14ac:dyDescent="0.35">
      <c r="A141" s="4"/>
      <c r="B141" s="31"/>
      <c r="C141" s="31"/>
      <c r="D141" s="31"/>
      <c r="E141" s="5"/>
      <c r="F141" s="31"/>
      <c r="G141" s="31"/>
      <c r="H141" s="31"/>
      <c r="I141" s="6"/>
    </row>
    <row r="142" spans="1:9" x14ac:dyDescent="0.35">
      <c r="A142" s="4"/>
      <c r="B142" s="31"/>
      <c r="C142" s="31"/>
      <c r="D142" s="31"/>
      <c r="E142" s="5"/>
      <c r="F142" s="31"/>
      <c r="G142" s="31"/>
      <c r="H142" s="31"/>
      <c r="I142" s="6"/>
    </row>
    <row r="143" spans="1:9" x14ac:dyDescent="0.35">
      <c r="A143" s="4"/>
      <c r="B143" s="31"/>
      <c r="C143" s="31"/>
      <c r="D143" s="31"/>
      <c r="E143" s="5"/>
      <c r="F143" s="31"/>
      <c r="G143" s="31"/>
      <c r="H143" s="31"/>
      <c r="I143" s="6"/>
    </row>
    <row r="144" spans="1:9" x14ac:dyDescent="0.35">
      <c r="A144" s="4"/>
      <c r="B144" s="31"/>
      <c r="C144" s="31"/>
      <c r="D144" s="31"/>
      <c r="E144" s="5"/>
      <c r="F144" s="31"/>
      <c r="G144" s="31"/>
      <c r="H144" s="31"/>
      <c r="I144" s="6"/>
    </row>
    <row r="145" spans="1:9" x14ac:dyDescent="0.35">
      <c r="A145" s="4"/>
      <c r="B145" s="31"/>
      <c r="C145" s="31"/>
      <c r="D145" s="31"/>
      <c r="E145" s="5"/>
      <c r="F145" s="31"/>
      <c r="G145" s="31"/>
      <c r="H145" s="31"/>
      <c r="I145" s="6"/>
    </row>
    <row r="146" spans="1:9" x14ac:dyDescent="0.35">
      <c r="A146" s="4"/>
      <c r="B146" s="31"/>
      <c r="C146" s="31"/>
      <c r="D146" s="31"/>
      <c r="E146" s="5"/>
      <c r="F146" s="31"/>
      <c r="G146" s="31"/>
      <c r="H146" s="31"/>
      <c r="I146" s="6"/>
    </row>
    <row r="147" spans="1:9" x14ac:dyDescent="0.35">
      <c r="A147" s="4"/>
      <c r="B147" s="31"/>
      <c r="C147" s="31"/>
      <c r="D147" s="31"/>
      <c r="E147" s="5"/>
      <c r="F147" s="31"/>
      <c r="G147" s="31"/>
      <c r="H147" s="31"/>
      <c r="I147" s="6"/>
    </row>
    <row r="148" spans="1:9" x14ac:dyDescent="0.35">
      <c r="A148" s="4"/>
      <c r="B148" s="31"/>
      <c r="C148" s="31"/>
      <c r="D148" s="31"/>
      <c r="E148" s="5"/>
      <c r="F148" s="31"/>
      <c r="G148" s="31"/>
      <c r="H148" s="31"/>
      <c r="I148" s="6"/>
    </row>
    <row r="149" spans="1:9" x14ac:dyDescent="0.35">
      <c r="A149" s="4"/>
      <c r="B149" s="31"/>
      <c r="C149" s="31"/>
      <c r="D149" s="31"/>
      <c r="E149" s="5"/>
      <c r="F149" s="31"/>
      <c r="G149" s="31"/>
      <c r="H149" s="31"/>
      <c r="I149" s="6"/>
    </row>
    <row r="150" spans="1:9" x14ac:dyDescent="0.35">
      <c r="A150" s="4"/>
      <c r="B150" s="31"/>
      <c r="C150" s="31"/>
      <c r="D150" s="31"/>
      <c r="E150" s="5"/>
      <c r="F150" s="31"/>
      <c r="G150" s="31"/>
      <c r="H150" s="31"/>
      <c r="I150" s="6"/>
    </row>
    <row r="151" spans="1:9" x14ac:dyDescent="0.35">
      <c r="A151" s="4"/>
      <c r="B151" s="31"/>
      <c r="C151" s="31"/>
      <c r="D151" s="31"/>
      <c r="E151" s="5"/>
      <c r="F151" s="31"/>
      <c r="G151" s="31"/>
      <c r="H151" s="31"/>
      <c r="I151" s="6"/>
    </row>
    <row r="152" spans="1:9" x14ac:dyDescent="0.35">
      <c r="A152" s="4"/>
      <c r="B152" s="31"/>
      <c r="C152" s="31"/>
      <c r="D152" s="31"/>
      <c r="E152" s="5"/>
      <c r="F152" s="31"/>
      <c r="G152" s="31"/>
      <c r="H152" s="31"/>
      <c r="I152" s="6"/>
    </row>
    <row r="153" spans="1:9" x14ac:dyDescent="0.35">
      <c r="A153" s="4"/>
      <c r="B153" s="31"/>
      <c r="C153" s="31"/>
      <c r="D153" s="31"/>
      <c r="E153" s="5"/>
      <c r="F153" s="31"/>
      <c r="G153" s="31"/>
      <c r="H153" s="31"/>
      <c r="I153" s="6"/>
    </row>
    <row r="154" spans="1:9" x14ac:dyDescent="0.35">
      <c r="A154" s="4"/>
      <c r="B154" s="31"/>
      <c r="C154" s="31"/>
      <c r="D154" s="31"/>
      <c r="E154" s="5"/>
      <c r="F154" s="31"/>
      <c r="G154" s="31"/>
      <c r="H154" s="31"/>
      <c r="I154" s="6"/>
    </row>
    <row r="155" spans="1:9" x14ac:dyDescent="0.35">
      <c r="A155" s="4"/>
      <c r="B155" s="31"/>
      <c r="C155" s="31"/>
      <c r="D155" s="31"/>
      <c r="E155" s="5"/>
      <c r="F155" s="31"/>
      <c r="G155" s="31"/>
      <c r="H155" s="31"/>
      <c r="I155" s="6"/>
    </row>
    <row r="156" spans="1:9" x14ac:dyDescent="0.35">
      <c r="A156" s="4"/>
      <c r="B156" s="31"/>
      <c r="C156" s="31"/>
      <c r="D156" s="31"/>
      <c r="E156" s="5"/>
      <c r="F156" s="31"/>
      <c r="G156" s="31"/>
      <c r="H156" s="31"/>
      <c r="I156" s="6"/>
    </row>
    <row r="157" spans="1:9" x14ac:dyDescent="0.35">
      <c r="A157" s="4"/>
      <c r="B157" s="31"/>
      <c r="C157" s="31"/>
      <c r="D157" s="31"/>
      <c r="E157" s="5"/>
      <c r="F157" s="31"/>
      <c r="G157" s="31"/>
      <c r="H157" s="31"/>
      <c r="I157" s="6"/>
    </row>
    <row r="158" spans="1:9" x14ac:dyDescent="0.35">
      <c r="A158" s="4"/>
      <c r="B158" s="31"/>
      <c r="C158" s="31"/>
      <c r="D158" s="31"/>
      <c r="E158" s="5"/>
      <c r="F158" s="31"/>
      <c r="G158" s="31"/>
      <c r="H158" s="31"/>
      <c r="I158" s="6"/>
    </row>
    <row r="159" spans="1:9" x14ac:dyDescent="0.35">
      <c r="A159" s="4"/>
      <c r="B159" s="31"/>
      <c r="C159" s="31"/>
      <c r="D159" s="31"/>
      <c r="E159" s="5"/>
      <c r="F159" s="31"/>
      <c r="G159" s="31"/>
      <c r="H159" s="31"/>
      <c r="I159" s="6"/>
    </row>
    <row r="160" spans="1:9" x14ac:dyDescent="0.35">
      <c r="A160" s="4"/>
      <c r="B160" s="31"/>
      <c r="C160" s="31"/>
      <c r="D160" s="31"/>
      <c r="E160" s="5"/>
      <c r="F160" s="31"/>
      <c r="G160" s="31"/>
      <c r="H160" s="31"/>
      <c r="I160" s="6"/>
    </row>
    <row r="161" spans="1:9" x14ac:dyDescent="0.35">
      <c r="A161" s="4"/>
      <c r="B161" s="31"/>
      <c r="C161" s="31"/>
      <c r="D161" s="31"/>
      <c r="E161" s="5"/>
      <c r="F161" s="31"/>
      <c r="G161" s="31"/>
      <c r="H161" s="31"/>
      <c r="I161" s="6"/>
    </row>
    <row r="162" spans="1:9" x14ac:dyDescent="0.35">
      <c r="A162" s="4"/>
      <c r="B162" s="31"/>
      <c r="C162" s="31"/>
      <c r="D162" s="31"/>
      <c r="E162" s="5"/>
      <c r="F162" s="31"/>
      <c r="G162" s="31"/>
      <c r="H162" s="31"/>
      <c r="I162" s="6"/>
    </row>
    <row r="163" spans="1:9" x14ac:dyDescent="0.35">
      <c r="A163" s="4"/>
      <c r="B163" s="31"/>
      <c r="C163" s="31"/>
      <c r="D163" s="31"/>
      <c r="E163" s="5"/>
      <c r="F163" s="31"/>
      <c r="G163" s="31"/>
      <c r="H163" s="31"/>
      <c r="I163" s="6"/>
    </row>
    <row r="164" spans="1:9" x14ac:dyDescent="0.35">
      <c r="A164" s="4"/>
      <c r="B164" s="31"/>
      <c r="C164" s="31"/>
      <c r="D164" s="31"/>
      <c r="E164" s="5"/>
      <c r="F164" s="31"/>
      <c r="G164" s="31"/>
      <c r="H164" s="31"/>
      <c r="I164" s="6"/>
    </row>
    <row r="165" spans="1:9" x14ac:dyDescent="0.35">
      <c r="A165" s="4"/>
      <c r="B165" s="31"/>
      <c r="C165" s="31"/>
      <c r="D165" s="31"/>
      <c r="E165" s="5"/>
      <c r="F165" s="31"/>
      <c r="G165" s="31"/>
      <c r="H165" s="31"/>
      <c r="I165" s="6"/>
    </row>
    <row r="166" spans="1:9" x14ac:dyDescent="0.35">
      <c r="A166" s="4"/>
      <c r="B166" s="31"/>
      <c r="C166" s="31"/>
      <c r="D166" s="31"/>
      <c r="E166" s="5"/>
      <c r="F166" s="31"/>
      <c r="G166" s="31"/>
      <c r="H166" s="31"/>
      <c r="I166" s="6"/>
    </row>
    <row r="167" spans="1:9" x14ac:dyDescent="0.35">
      <c r="A167" s="4"/>
      <c r="B167" s="31"/>
      <c r="C167" s="31"/>
      <c r="D167" s="31"/>
      <c r="E167" s="5"/>
      <c r="F167" s="31"/>
      <c r="G167" s="31"/>
      <c r="H167" s="31"/>
      <c r="I167" s="6"/>
    </row>
    <row r="168" spans="1:9" x14ac:dyDescent="0.35">
      <c r="A168" s="4"/>
      <c r="B168" s="31"/>
      <c r="C168" s="31"/>
      <c r="D168" s="31"/>
      <c r="E168" s="5"/>
      <c r="F168" s="31"/>
      <c r="G168" s="31"/>
      <c r="H168" s="31"/>
      <c r="I168" s="6"/>
    </row>
    <row r="169" spans="1:9" x14ac:dyDescent="0.35">
      <c r="A169" s="4"/>
      <c r="B169" s="31"/>
      <c r="C169" s="31"/>
      <c r="D169" s="31"/>
      <c r="E169" s="5"/>
      <c r="F169" s="31"/>
      <c r="G169" s="31"/>
      <c r="H169" s="31"/>
      <c r="I169" s="6"/>
    </row>
    <row r="170" spans="1:9" x14ac:dyDescent="0.35">
      <c r="A170" s="4"/>
      <c r="B170" s="31"/>
      <c r="C170" s="31"/>
      <c r="D170" s="31"/>
      <c r="E170" s="5"/>
      <c r="F170" s="31"/>
      <c r="G170" s="31"/>
      <c r="H170" s="31"/>
      <c r="I170" s="6"/>
    </row>
    <row r="171" spans="1:9" x14ac:dyDescent="0.35">
      <c r="A171" s="4"/>
      <c r="B171" s="31"/>
      <c r="C171" s="31"/>
      <c r="D171" s="31"/>
      <c r="E171" s="5"/>
      <c r="F171" s="31"/>
      <c r="G171" s="31"/>
      <c r="H171" s="31"/>
      <c r="I171" s="6"/>
    </row>
    <row r="172" spans="1:9" x14ac:dyDescent="0.35">
      <c r="A172" s="4"/>
      <c r="B172" s="31"/>
      <c r="C172" s="31"/>
      <c r="D172" s="31"/>
      <c r="E172" s="5"/>
      <c r="F172" s="31"/>
      <c r="G172" s="31"/>
      <c r="H172" s="31"/>
      <c r="I172" s="6"/>
    </row>
    <row r="173" spans="1:9" x14ac:dyDescent="0.35">
      <c r="A173" s="4"/>
      <c r="B173" s="31"/>
      <c r="C173" s="31"/>
      <c r="D173" s="31"/>
      <c r="E173" s="5"/>
      <c r="F173" s="31"/>
      <c r="G173" s="31"/>
      <c r="H173" s="31"/>
      <c r="I173" s="6"/>
    </row>
    <row r="174" spans="1:9" x14ac:dyDescent="0.35">
      <c r="A174" s="4"/>
      <c r="B174" s="31"/>
      <c r="C174" s="31"/>
      <c r="D174" s="31"/>
      <c r="E174" s="5"/>
      <c r="F174" s="31"/>
      <c r="G174" s="31"/>
      <c r="H174" s="31"/>
      <c r="I174" s="6"/>
    </row>
    <row r="175" spans="1:9" x14ac:dyDescent="0.35">
      <c r="A175" s="4"/>
      <c r="B175" s="31"/>
      <c r="C175" s="31"/>
      <c r="D175" s="31"/>
      <c r="E175" s="5"/>
      <c r="F175" s="31"/>
      <c r="G175" s="31"/>
      <c r="H175" s="31"/>
      <c r="I175" s="6"/>
    </row>
    <row r="176" spans="1:9" x14ac:dyDescent="0.35">
      <c r="A176" s="4"/>
      <c r="B176" s="31"/>
      <c r="C176" s="31"/>
      <c r="D176" s="31"/>
      <c r="E176" s="5"/>
      <c r="F176" s="31"/>
      <c r="G176" s="31"/>
      <c r="H176" s="31"/>
      <c r="I176" s="6"/>
    </row>
    <row r="177" spans="1:9" x14ac:dyDescent="0.35">
      <c r="A177" s="4"/>
      <c r="B177" s="31"/>
      <c r="C177" s="31"/>
      <c r="D177" s="31"/>
      <c r="E177" s="5"/>
      <c r="F177" s="31"/>
      <c r="G177" s="31"/>
      <c r="H177" s="31"/>
      <c r="I177" s="6"/>
    </row>
    <row r="178" spans="1:9" x14ac:dyDescent="0.35">
      <c r="A178" s="4"/>
      <c r="B178" s="31"/>
      <c r="C178" s="31"/>
      <c r="D178" s="31"/>
      <c r="E178" s="5"/>
      <c r="F178" s="31"/>
      <c r="G178" s="31"/>
      <c r="H178" s="31"/>
      <c r="I178" s="6"/>
    </row>
    <row r="179" spans="1:9" x14ac:dyDescent="0.35">
      <c r="A179" s="4"/>
      <c r="B179" s="31"/>
      <c r="C179" s="31"/>
      <c r="D179" s="31"/>
      <c r="E179" s="5"/>
      <c r="F179" s="31"/>
      <c r="G179" s="31"/>
      <c r="H179" s="31"/>
      <c r="I179" s="6"/>
    </row>
    <row r="180" spans="1:9" x14ac:dyDescent="0.35">
      <c r="A180" s="4"/>
      <c r="B180" s="31"/>
      <c r="C180" s="31"/>
      <c r="D180" s="31"/>
      <c r="E180" s="5"/>
      <c r="F180" s="31"/>
      <c r="G180" s="31"/>
      <c r="H180" s="31"/>
      <c r="I180" s="6"/>
    </row>
    <row r="181" spans="1:9" x14ac:dyDescent="0.35">
      <c r="A181" s="4"/>
      <c r="B181" s="31"/>
      <c r="C181" s="31"/>
      <c r="D181" s="31"/>
      <c r="E181" s="5"/>
      <c r="F181" s="31"/>
      <c r="G181" s="31"/>
      <c r="H181" s="31"/>
      <c r="I181" s="6"/>
    </row>
    <row r="182" spans="1:9" x14ac:dyDescent="0.35">
      <c r="A182" s="4"/>
      <c r="B182" s="31"/>
      <c r="C182" s="31"/>
      <c r="D182" s="31"/>
      <c r="E182" s="5"/>
      <c r="F182" s="31"/>
      <c r="G182" s="31"/>
      <c r="H182" s="31"/>
      <c r="I182" s="6"/>
    </row>
    <row r="183" spans="1:9" x14ac:dyDescent="0.35">
      <c r="A183" s="4"/>
      <c r="B183" s="31"/>
      <c r="C183" s="31"/>
      <c r="D183" s="31"/>
      <c r="E183" s="5"/>
      <c r="F183" s="31"/>
      <c r="G183" s="31"/>
      <c r="H183" s="31"/>
      <c r="I183" s="6"/>
    </row>
    <row r="184" spans="1:9" x14ac:dyDescent="0.35">
      <c r="A184" s="4"/>
      <c r="B184" s="31"/>
      <c r="C184" s="31"/>
      <c r="D184" s="31"/>
      <c r="E184" s="5"/>
      <c r="F184" s="31"/>
      <c r="G184" s="31"/>
      <c r="H184" s="31"/>
      <c r="I184" s="6"/>
    </row>
    <row r="185" spans="1:9" x14ac:dyDescent="0.35">
      <c r="A185" s="4"/>
      <c r="B185" s="31"/>
      <c r="C185" s="31"/>
      <c r="D185" s="31"/>
      <c r="E185" s="5"/>
      <c r="F185" s="31"/>
      <c r="G185" s="31"/>
      <c r="H185" s="31"/>
      <c r="I185" s="6"/>
    </row>
    <row r="186" spans="1:9" x14ac:dyDescent="0.35">
      <c r="A186" s="4"/>
      <c r="B186" s="31"/>
      <c r="C186" s="31"/>
      <c r="D186" s="31"/>
      <c r="E186" s="5"/>
      <c r="F186" s="31"/>
      <c r="G186" s="31"/>
      <c r="H186" s="31"/>
      <c r="I186" s="6"/>
    </row>
    <row r="187" spans="1:9" x14ac:dyDescent="0.35">
      <c r="A187" s="4"/>
      <c r="B187" s="31"/>
      <c r="C187" s="31"/>
      <c r="D187" s="31"/>
      <c r="E187" s="5"/>
      <c r="F187" s="31"/>
      <c r="G187" s="31"/>
      <c r="H187" s="31"/>
      <c r="I187" s="6"/>
    </row>
    <row r="188" spans="1:9" x14ac:dyDescent="0.35">
      <c r="A188" s="4"/>
      <c r="B188" s="31"/>
      <c r="C188" s="31"/>
      <c r="D188" s="31"/>
      <c r="E188" s="5"/>
      <c r="F188" s="31"/>
      <c r="G188" s="31"/>
      <c r="H188" s="31"/>
      <c r="I188" s="6"/>
    </row>
    <row r="189" spans="1:9" x14ac:dyDescent="0.35">
      <c r="A189" s="4"/>
      <c r="B189" s="31"/>
      <c r="C189" s="31"/>
      <c r="D189" s="31"/>
      <c r="E189" s="5"/>
      <c r="F189" s="31"/>
      <c r="G189" s="31"/>
      <c r="H189" s="31"/>
      <c r="I189" s="6"/>
    </row>
    <row r="190" spans="1:9" x14ac:dyDescent="0.35">
      <c r="A190" s="4"/>
      <c r="B190" s="31"/>
      <c r="C190" s="31"/>
      <c r="D190" s="31"/>
      <c r="E190" s="5"/>
      <c r="F190" s="31"/>
      <c r="G190" s="31"/>
      <c r="H190" s="31"/>
      <c r="I190" s="6"/>
    </row>
    <row r="191" spans="1:9" x14ac:dyDescent="0.35">
      <c r="A191" s="4"/>
      <c r="B191" s="31"/>
      <c r="C191" s="31"/>
      <c r="D191" s="31"/>
      <c r="E191" s="5"/>
      <c r="F191" s="31"/>
      <c r="G191" s="31"/>
      <c r="H191" s="31"/>
      <c r="I191" s="6"/>
    </row>
  </sheetData>
  <mergeCells count="381">
    <mergeCell ref="B189:D189"/>
    <mergeCell ref="F189:H189"/>
    <mergeCell ref="B190:D190"/>
    <mergeCell ref="F190:H190"/>
    <mergeCell ref="B191:D191"/>
    <mergeCell ref="F191:H191"/>
    <mergeCell ref="B184:D184"/>
    <mergeCell ref="F184:H184"/>
    <mergeCell ref="B185:D185"/>
    <mergeCell ref="F185:H185"/>
    <mergeCell ref="B186:D186"/>
    <mergeCell ref="F186:H186"/>
    <mergeCell ref="B187:D187"/>
    <mergeCell ref="F187:H187"/>
    <mergeCell ref="B188:D188"/>
    <mergeCell ref="F188:H188"/>
    <mergeCell ref="B179:D179"/>
    <mergeCell ref="F179:H179"/>
    <mergeCell ref="B180:D180"/>
    <mergeCell ref="F180:H180"/>
    <mergeCell ref="B181:D181"/>
    <mergeCell ref="F181:H181"/>
    <mergeCell ref="B182:D182"/>
    <mergeCell ref="F182:H182"/>
    <mergeCell ref="B183:D183"/>
    <mergeCell ref="F183:H183"/>
    <mergeCell ref="B174:D174"/>
    <mergeCell ref="F174:H174"/>
    <mergeCell ref="B175:D175"/>
    <mergeCell ref="F175:H175"/>
    <mergeCell ref="B176:D176"/>
    <mergeCell ref="F176:H176"/>
    <mergeCell ref="B177:D177"/>
    <mergeCell ref="F177:H177"/>
    <mergeCell ref="B178:D178"/>
    <mergeCell ref="F178:H178"/>
    <mergeCell ref="B169:D169"/>
    <mergeCell ref="F169:H169"/>
    <mergeCell ref="B170:D170"/>
    <mergeCell ref="F170:H170"/>
    <mergeCell ref="B171:D171"/>
    <mergeCell ref="F171:H171"/>
    <mergeCell ref="B172:D172"/>
    <mergeCell ref="F172:H172"/>
    <mergeCell ref="B173:D173"/>
    <mergeCell ref="F173:H173"/>
    <mergeCell ref="B164:D164"/>
    <mergeCell ref="F164:H164"/>
    <mergeCell ref="B165:D165"/>
    <mergeCell ref="F165:H165"/>
    <mergeCell ref="B166:D166"/>
    <mergeCell ref="F166:H166"/>
    <mergeCell ref="B167:D167"/>
    <mergeCell ref="F167:H167"/>
    <mergeCell ref="B168:D168"/>
    <mergeCell ref="F168:H168"/>
    <mergeCell ref="B159:D159"/>
    <mergeCell ref="F159:H159"/>
    <mergeCell ref="B160:D160"/>
    <mergeCell ref="F160:H160"/>
    <mergeCell ref="B161:D161"/>
    <mergeCell ref="F161:H161"/>
    <mergeCell ref="B162:D162"/>
    <mergeCell ref="F162:H162"/>
    <mergeCell ref="B163:D163"/>
    <mergeCell ref="F163:H163"/>
    <mergeCell ref="B154:D154"/>
    <mergeCell ref="F154:H154"/>
    <mergeCell ref="B155:D155"/>
    <mergeCell ref="F155:H155"/>
    <mergeCell ref="B156:D156"/>
    <mergeCell ref="F156:H156"/>
    <mergeCell ref="B157:D157"/>
    <mergeCell ref="F157:H157"/>
    <mergeCell ref="B158:D158"/>
    <mergeCell ref="F158:H158"/>
    <mergeCell ref="B149:D149"/>
    <mergeCell ref="F149:H149"/>
    <mergeCell ref="B150:D150"/>
    <mergeCell ref="F150:H150"/>
    <mergeCell ref="B151:D151"/>
    <mergeCell ref="F151:H151"/>
    <mergeCell ref="B152:D152"/>
    <mergeCell ref="F152:H152"/>
    <mergeCell ref="B153:D153"/>
    <mergeCell ref="F153:H153"/>
    <mergeCell ref="B144:D144"/>
    <mergeCell ref="F144:H144"/>
    <mergeCell ref="B145:D145"/>
    <mergeCell ref="F145:H145"/>
    <mergeCell ref="B146:D146"/>
    <mergeCell ref="F146:H146"/>
    <mergeCell ref="B147:D147"/>
    <mergeCell ref="F147:H147"/>
    <mergeCell ref="B148:D148"/>
    <mergeCell ref="F148:H148"/>
    <mergeCell ref="B139:D139"/>
    <mergeCell ref="F139:H139"/>
    <mergeCell ref="B140:D140"/>
    <mergeCell ref="F140:H140"/>
    <mergeCell ref="B141:D141"/>
    <mergeCell ref="F141:H141"/>
    <mergeCell ref="B142:D142"/>
    <mergeCell ref="F142:H142"/>
    <mergeCell ref="B143:D143"/>
    <mergeCell ref="F143:H143"/>
    <mergeCell ref="B134:D134"/>
    <mergeCell ref="F134:H134"/>
    <mergeCell ref="B135:D135"/>
    <mergeCell ref="F135:H135"/>
    <mergeCell ref="B136:D136"/>
    <mergeCell ref="F136:H136"/>
    <mergeCell ref="B137:D137"/>
    <mergeCell ref="F137:H137"/>
    <mergeCell ref="B138:D138"/>
    <mergeCell ref="F138:H138"/>
    <mergeCell ref="B129:D129"/>
    <mergeCell ref="F129:H129"/>
    <mergeCell ref="B130:D130"/>
    <mergeCell ref="F130:H130"/>
    <mergeCell ref="B131:D131"/>
    <mergeCell ref="F131:H131"/>
    <mergeCell ref="B132:D132"/>
    <mergeCell ref="F132:H132"/>
    <mergeCell ref="B133:D133"/>
    <mergeCell ref="F133:H133"/>
    <mergeCell ref="B124:D124"/>
    <mergeCell ref="F124:H124"/>
    <mergeCell ref="B125:D125"/>
    <mergeCell ref="F125:H125"/>
    <mergeCell ref="B126:D126"/>
    <mergeCell ref="F126:H126"/>
    <mergeCell ref="B127:D127"/>
    <mergeCell ref="F127:H127"/>
    <mergeCell ref="B128:D128"/>
    <mergeCell ref="F128:H128"/>
    <mergeCell ref="B119:D119"/>
    <mergeCell ref="F119:H119"/>
    <mergeCell ref="B120:D120"/>
    <mergeCell ref="F120:H120"/>
    <mergeCell ref="B121:D121"/>
    <mergeCell ref="F121:H121"/>
    <mergeCell ref="B122:D122"/>
    <mergeCell ref="F122:H122"/>
    <mergeCell ref="B123:D123"/>
    <mergeCell ref="F123:H123"/>
    <mergeCell ref="B114:D114"/>
    <mergeCell ref="F114:H114"/>
    <mergeCell ref="B115:D115"/>
    <mergeCell ref="F115:H115"/>
    <mergeCell ref="B116:D116"/>
    <mergeCell ref="F116:H116"/>
    <mergeCell ref="B117:D117"/>
    <mergeCell ref="F117:H117"/>
    <mergeCell ref="B118:D118"/>
    <mergeCell ref="F118:H118"/>
    <mergeCell ref="B109:D109"/>
    <mergeCell ref="F109:H109"/>
    <mergeCell ref="B110:D110"/>
    <mergeCell ref="F110:H110"/>
    <mergeCell ref="B111:D111"/>
    <mergeCell ref="F111:H111"/>
    <mergeCell ref="B112:D112"/>
    <mergeCell ref="F112:H112"/>
    <mergeCell ref="B113:D113"/>
    <mergeCell ref="F113:H113"/>
    <mergeCell ref="B104:D104"/>
    <mergeCell ref="F104:H104"/>
    <mergeCell ref="B105:D105"/>
    <mergeCell ref="F105:H105"/>
    <mergeCell ref="B106:D106"/>
    <mergeCell ref="F106:H106"/>
    <mergeCell ref="B107:D107"/>
    <mergeCell ref="F107:H107"/>
    <mergeCell ref="B108:D108"/>
    <mergeCell ref="F108:H108"/>
    <mergeCell ref="B99:D99"/>
    <mergeCell ref="F99:H99"/>
    <mergeCell ref="B100:D100"/>
    <mergeCell ref="F100:H100"/>
    <mergeCell ref="B101:D101"/>
    <mergeCell ref="F101:H101"/>
    <mergeCell ref="B102:D102"/>
    <mergeCell ref="F102:H102"/>
    <mergeCell ref="B103:D103"/>
    <mergeCell ref="F103:H103"/>
    <mergeCell ref="B94:D94"/>
    <mergeCell ref="F94:H94"/>
    <mergeCell ref="B95:D95"/>
    <mergeCell ref="F95:H95"/>
    <mergeCell ref="B96:D96"/>
    <mergeCell ref="F96:H96"/>
    <mergeCell ref="B97:D97"/>
    <mergeCell ref="F97:H97"/>
    <mergeCell ref="B98:D98"/>
    <mergeCell ref="F98:H98"/>
    <mergeCell ref="B85:D85"/>
    <mergeCell ref="F85:H85"/>
    <mergeCell ref="B86:D86"/>
    <mergeCell ref="F86:H86"/>
    <mergeCell ref="B80:D80"/>
    <mergeCell ref="F80:H80"/>
    <mergeCell ref="B81:D81"/>
    <mergeCell ref="F81:H81"/>
    <mergeCell ref="B90:D90"/>
    <mergeCell ref="F90:H90"/>
    <mergeCell ref="B82:D82"/>
    <mergeCell ref="F82:H82"/>
    <mergeCell ref="B83:D83"/>
    <mergeCell ref="F83:H83"/>
    <mergeCell ref="B84:D84"/>
    <mergeCell ref="F84:H84"/>
    <mergeCell ref="B91:D91"/>
    <mergeCell ref="F91:H91"/>
    <mergeCell ref="B92:D92"/>
    <mergeCell ref="F92:H92"/>
    <mergeCell ref="B93:D93"/>
    <mergeCell ref="F93:H93"/>
    <mergeCell ref="B87:D87"/>
    <mergeCell ref="F87:H87"/>
    <mergeCell ref="B88:D88"/>
    <mergeCell ref="F88:H88"/>
    <mergeCell ref="B89:D89"/>
    <mergeCell ref="F89:H89"/>
    <mergeCell ref="B76:D76"/>
    <mergeCell ref="F76:H76"/>
    <mergeCell ref="B77:D77"/>
    <mergeCell ref="F77:H77"/>
    <mergeCell ref="B78:D78"/>
    <mergeCell ref="F78:H78"/>
    <mergeCell ref="B79:D79"/>
    <mergeCell ref="F79:H79"/>
    <mergeCell ref="B74:D74"/>
    <mergeCell ref="F74:H74"/>
    <mergeCell ref="B75:D75"/>
    <mergeCell ref="F75:H75"/>
    <mergeCell ref="B64:D64"/>
    <mergeCell ref="F64:H64"/>
    <mergeCell ref="B65:D65"/>
    <mergeCell ref="F65:H65"/>
    <mergeCell ref="B66:D66"/>
    <mergeCell ref="F66:H66"/>
    <mergeCell ref="B67:D67"/>
    <mergeCell ref="F67:H67"/>
    <mergeCell ref="B68:D68"/>
    <mergeCell ref="F68:H68"/>
    <mergeCell ref="B69:D69"/>
    <mergeCell ref="F69:H69"/>
    <mergeCell ref="B70:D70"/>
    <mergeCell ref="F70:H70"/>
    <mergeCell ref="B71:D71"/>
    <mergeCell ref="F71:H71"/>
    <mergeCell ref="B72:D72"/>
    <mergeCell ref="F72:H72"/>
    <mergeCell ref="B73:D73"/>
    <mergeCell ref="F73:H73"/>
    <mergeCell ref="B58:D58"/>
    <mergeCell ref="F58:H58"/>
    <mergeCell ref="B59:D59"/>
    <mergeCell ref="F59:H59"/>
    <mergeCell ref="B60:D60"/>
    <mergeCell ref="F60:H60"/>
    <mergeCell ref="B61:D61"/>
    <mergeCell ref="F61:H61"/>
    <mergeCell ref="B63:D63"/>
    <mergeCell ref="F63:H63"/>
    <mergeCell ref="B62:D62"/>
    <mergeCell ref="F62:H62"/>
    <mergeCell ref="B56:D56"/>
    <mergeCell ref="F56:H56"/>
    <mergeCell ref="B57:D57"/>
    <mergeCell ref="F57:H57"/>
    <mergeCell ref="B53:D53"/>
    <mergeCell ref="F53:H53"/>
    <mergeCell ref="B54:D54"/>
    <mergeCell ref="F54:H54"/>
    <mergeCell ref="B55:D55"/>
    <mergeCell ref="F55:H55"/>
    <mergeCell ref="B46:D46"/>
    <mergeCell ref="F46:H46"/>
    <mergeCell ref="B51:D51"/>
    <mergeCell ref="F51:H51"/>
    <mergeCell ref="B52:D52"/>
    <mergeCell ref="F52:H52"/>
    <mergeCell ref="B43:D43"/>
    <mergeCell ref="F43:H43"/>
    <mergeCell ref="B44:D44"/>
    <mergeCell ref="F44:H44"/>
    <mergeCell ref="B45:D45"/>
    <mergeCell ref="F45:H45"/>
    <mergeCell ref="B47:D47"/>
    <mergeCell ref="F47:H47"/>
    <mergeCell ref="B48:D48"/>
    <mergeCell ref="B49:D49"/>
    <mergeCell ref="B50:D50"/>
    <mergeCell ref="F48:H48"/>
    <mergeCell ref="F49:H49"/>
    <mergeCell ref="F50:H50"/>
    <mergeCell ref="B40:D40"/>
    <mergeCell ref="F40:H40"/>
    <mergeCell ref="B41:D41"/>
    <mergeCell ref="F41:H41"/>
    <mergeCell ref="B42:D42"/>
    <mergeCell ref="F42:H42"/>
    <mergeCell ref="B37:D37"/>
    <mergeCell ref="F37:H37"/>
    <mergeCell ref="B38:D38"/>
    <mergeCell ref="F38:H38"/>
    <mergeCell ref="B39:D39"/>
    <mergeCell ref="F39:H39"/>
    <mergeCell ref="B34:D34"/>
    <mergeCell ref="F34:H34"/>
    <mergeCell ref="B35:D35"/>
    <mergeCell ref="F35:H35"/>
    <mergeCell ref="B36:D36"/>
    <mergeCell ref="F36:H36"/>
    <mergeCell ref="B31:D31"/>
    <mergeCell ref="F31:H31"/>
    <mergeCell ref="B32:D32"/>
    <mergeCell ref="F32:H32"/>
    <mergeCell ref="B33:D33"/>
    <mergeCell ref="F33:H33"/>
    <mergeCell ref="B28:D28"/>
    <mergeCell ref="F28:H28"/>
    <mergeCell ref="B29:D29"/>
    <mergeCell ref="F29:H29"/>
    <mergeCell ref="B30:D30"/>
    <mergeCell ref="F30:H30"/>
    <mergeCell ref="B25:D25"/>
    <mergeCell ref="F25:H25"/>
    <mergeCell ref="B26:D26"/>
    <mergeCell ref="F26:H26"/>
    <mergeCell ref="B27:D27"/>
    <mergeCell ref="F27:H27"/>
    <mergeCell ref="B23:D23"/>
    <mergeCell ref="F23:H23"/>
    <mergeCell ref="B24:D24"/>
    <mergeCell ref="F24:H24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29"/>
  <sheetViews>
    <sheetView workbookViewId="0">
      <selection activeCell="F9" sqref="F9:H9"/>
    </sheetView>
  </sheetViews>
  <sheetFormatPr defaultRowHeight="14.5" x14ac:dyDescent="0.35"/>
  <cols>
    <col min="5" max="5" width="9.1796875" bestFit="1" customWidth="1"/>
    <col min="9" max="9" width="9.6328125" customWidth="1"/>
  </cols>
  <sheetData>
    <row r="1" spans="1:9" ht="20" thickBot="1" x14ac:dyDescent="0.5">
      <c r="A1" s="32" t="s">
        <v>199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45756</v>
      </c>
      <c r="B3" s="33"/>
      <c r="C3" s="34"/>
      <c r="D3" s="35"/>
      <c r="E3" s="5"/>
      <c r="F3" s="33" t="s">
        <v>200</v>
      </c>
      <c r="G3" s="34"/>
      <c r="H3" s="35"/>
      <c r="I3" s="6">
        <v>4890</v>
      </c>
    </row>
    <row r="4" spans="1:9" x14ac:dyDescent="0.35">
      <c r="A4" s="4">
        <v>45776</v>
      </c>
      <c r="B4" s="31" t="s">
        <v>26</v>
      </c>
      <c r="C4" s="31"/>
      <c r="D4" s="31"/>
      <c r="E4" s="5">
        <v>3500</v>
      </c>
      <c r="F4" s="31"/>
      <c r="G4" s="31"/>
      <c r="H4" s="31"/>
      <c r="I4" s="6"/>
    </row>
    <row r="5" spans="1:9" x14ac:dyDescent="0.35">
      <c r="A5" s="4">
        <v>45790</v>
      </c>
      <c r="B5" s="31" t="s">
        <v>21</v>
      </c>
      <c r="C5" s="31"/>
      <c r="D5" s="31"/>
      <c r="E5" s="5">
        <v>1390</v>
      </c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12"/>
      <c r="F6" s="31"/>
      <c r="G6" s="31"/>
      <c r="H6" s="31"/>
      <c r="I6" s="10"/>
    </row>
    <row r="7" spans="1:9" x14ac:dyDescent="0.35">
      <c r="A7" s="4"/>
      <c r="B7" s="31"/>
      <c r="C7" s="31"/>
      <c r="D7" s="31"/>
      <c r="E7" s="5"/>
      <c r="F7" s="31"/>
      <c r="G7" s="31"/>
      <c r="H7" s="31"/>
      <c r="I7" s="6"/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3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4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4"/>
      <c r="B14" s="31"/>
      <c r="C14" s="31"/>
      <c r="D14" s="31"/>
      <c r="E14" s="5"/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2"/>
      <c r="F15" s="31"/>
      <c r="G15" s="31"/>
      <c r="H15" s="31"/>
      <c r="I15" s="10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4"/>
      <c r="B17" s="31"/>
      <c r="C17" s="31"/>
      <c r="D17" s="31"/>
      <c r="E17" s="5"/>
      <c r="F17" s="42"/>
      <c r="G17" s="42"/>
      <c r="H17" s="42"/>
      <c r="I17" s="15"/>
    </row>
    <row r="18" spans="1:9" x14ac:dyDescent="0.35">
      <c r="A18" s="4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4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</sheetData>
  <mergeCells count="57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9:D29"/>
    <mergeCell ref="F29:H29"/>
    <mergeCell ref="B26:D26"/>
    <mergeCell ref="F26:H26"/>
    <mergeCell ref="B27:D27"/>
    <mergeCell ref="F27:H27"/>
    <mergeCell ref="B28:D28"/>
    <mergeCell ref="F28:H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O39"/>
  <sheetViews>
    <sheetView workbookViewId="0">
      <selection activeCell="I12" sqref="I12"/>
    </sheetView>
  </sheetViews>
  <sheetFormatPr defaultRowHeight="14.5" x14ac:dyDescent="0.35"/>
  <cols>
    <col min="5" max="5" width="9.81640625" customWidth="1"/>
    <col min="9" max="9" width="9.7265625" customWidth="1"/>
  </cols>
  <sheetData>
    <row r="1" spans="1:15" ht="20" thickBot="1" x14ac:dyDescent="0.5">
      <c r="A1" s="32" t="s">
        <v>197</v>
      </c>
      <c r="B1" s="32"/>
      <c r="C1" s="32"/>
      <c r="D1" s="32"/>
      <c r="E1" s="32"/>
      <c r="F1" s="32"/>
      <c r="G1" s="32"/>
      <c r="H1" s="32"/>
      <c r="I1" s="32"/>
    </row>
    <row r="2" spans="1:15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15" x14ac:dyDescent="0.35">
      <c r="A3" s="4">
        <v>45736</v>
      </c>
      <c r="B3" s="33"/>
      <c r="C3" s="34"/>
      <c r="D3" s="35"/>
      <c r="E3" s="5"/>
      <c r="F3" s="33" t="s">
        <v>196</v>
      </c>
      <c r="G3" s="34"/>
      <c r="H3" s="35"/>
      <c r="I3" s="6">
        <v>3420</v>
      </c>
    </row>
    <row r="4" spans="1:15" x14ac:dyDescent="0.35">
      <c r="A4" s="4">
        <v>45751</v>
      </c>
      <c r="B4" s="31" t="s">
        <v>24</v>
      </c>
      <c r="C4" s="31"/>
      <c r="D4" s="31"/>
      <c r="E4" s="5">
        <v>2000</v>
      </c>
      <c r="F4" s="31"/>
      <c r="G4" s="31"/>
      <c r="H4" s="31"/>
      <c r="I4" s="6"/>
    </row>
    <row r="5" spans="1:15" x14ac:dyDescent="0.35">
      <c r="A5" s="4">
        <v>45761</v>
      </c>
      <c r="B5" s="31" t="s">
        <v>24</v>
      </c>
      <c r="C5" s="31"/>
      <c r="D5" s="31"/>
      <c r="E5" s="5">
        <v>750</v>
      </c>
      <c r="F5" s="31"/>
      <c r="G5" s="31"/>
      <c r="H5" s="31"/>
      <c r="I5" s="6"/>
    </row>
    <row r="6" spans="1:15" x14ac:dyDescent="0.35">
      <c r="A6" s="4">
        <v>45770</v>
      </c>
      <c r="B6" s="31" t="s">
        <v>29</v>
      </c>
      <c r="C6" s="31"/>
      <c r="D6" s="31"/>
      <c r="E6" s="5">
        <v>670</v>
      </c>
      <c r="F6" s="31"/>
      <c r="G6" s="31"/>
      <c r="H6" s="31"/>
      <c r="I6" s="6"/>
    </row>
    <row r="7" spans="1:15" ht="15.5" x14ac:dyDescent="0.45">
      <c r="A7" s="4"/>
      <c r="B7" s="31"/>
      <c r="C7" s="31"/>
      <c r="D7" s="31"/>
      <c r="E7" s="12">
        <v>3420</v>
      </c>
      <c r="F7" s="31"/>
      <c r="G7" s="31"/>
      <c r="H7" s="31"/>
      <c r="I7" s="11">
        <v>3420</v>
      </c>
      <c r="N7" s="44"/>
      <c r="O7" s="44"/>
    </row>
    <row r="8" spans="1:15" ht="15.5" x14ac:dyDescent="0.45">
      <c r="A8" s="4"/>
      <c r="B8" s="31"/>
      <c r="C8" s="31"/>
      <c r="D8" s="31"/>
      <c r="E8" s="5"/>
      <c r="F8" s="31"/>
      <c r="G8" s="31"/>
      <c r="H8" s="31"/>
      <c r="I8" s="11"/>
    </row>
    <row r="9" spans="1:15" x14ac:dyDescent="0.35">
      <c r="A9" s="4">
        <v>45771</v>
      </c>
      <c r="B9" s="31"/>
      <c r="C9" s="31"/>
      <c r="D9" s="31"/>
      <c r="E9" s="5"/>
      <c r="F9" s="42" t="s">
        <v>126</v>
      </c>
      <c r="G9" s="42"/>
      <c r="H9" s="42"/>
      <c r="I9" s="15">
        <v>670</v>
      </c>
    </row>
    <row r="10" spans="1:15" ht="15.5" x14ac:dyDescent="0.45">
      <c r="A10" s="3"/>
      <c r="B10" s="31"/>
      <c r="C10" s="31"/>
      <c r="D10" s="31"/>
      <c r="E10" s="12"/>
      <c r="F10" s="31"/>
      <c r="G10" s="31"/>
      <c r="H10" s="31"/>
      <c r="I10" s="11"/>
    </row>
    <row r="11" spans="1:15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15" x14ac:dyDescent="0.35">
      <c r="A12" s="4"/>
      <c r="B12" s="31"/>
      <c r="C12" s="31"/>
      <c r="D12" s="31"/>
      <c r="E12" s="5"/>
      <c r="F12" s="42"/>
      <c r="G12" s="42"/>
      <c r="H12" s="42"/>
      <c r="I12" s="15"/>
    </row>
    <row r="13" spans="1:15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15" x14ac:dyDescent="0.35">
      <c r="A14" s="4"/>
      <c r="B14" s="31"/>
      <c r="C14" s="31"/>
      <c r="D14" s="31"/>
      <c r="E14" s="5"/>
      <c r="F14" s="31"/>
      <c r="G14" s="31"/>
      <c r="H14" s="31"/>
      <c r="I14" s="6"/>
    </row>
    <row r="15" spans="1:15" x14ac:dyDescent="0.35">
      <c r="A15" s="4"/>
      <c r="B15" s="31"/>
      <c r="C15" s="31"/>
      <c r="D15" s="31"/>
      <c r="E15" s="5"/>
      <c r="F15" s="31"/>
      <c r="G15" s="31"/>
      <c r="H15" s="31"/>
      <c r="I15" s="6"/>
    </row>
    <row r="16" spans="1:15" x14ac:dyDescent="0.35">
      <c r="A16" s="4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4"/>
      <c r="B17" s="31"/>
      <c r="C17" s="31"/>
      <c r="D17" s="31"/>
      <c r="E17" s="5"/>
      <c r="F17" s="31"/>
      <c r="G17" s="31"/>
      <c r="H17" s="31"/>
      <c r="I17" s="6"/>
    </row>
    <row r="18" spans="1:9" ht="15.5" x14ac:dyDescent="0.45">
      <c r="A18" s="4"/>
      <c r="B18" s="31"/>
      <c r="C18" s="31"/>
      <c r="D18" s="31"/>
      <c r="E18" s="12"/>
      <c r="F18" s="31"/>
      <c r="G18" s="31"/>
      <c r="H18" s="31"/>
      <c r="I18" s="11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4"/>
      <c r="B20" s="31"/>
      <c r="C20" s="31"/>
      <c r="D20" s="31"/>
      <c r="E20" s="5"/>
      <c r="F20" s="42"/>
      <c r="G20" s="42"/>
      <c r="H20" s="42"/>
      <c r="I20" s="15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  <row r="38" spans="1:9" x14ac:dyDescent="0.35">
      <c r="A38" s="3"/>
      <c r="B38" s="31"/>
      <c r="C38" s="31"/>
      <c r="D38" s="31"/>
      <c r="E38" s="5"/>
      <c r="F38" s="31"/>
      <c r="G38" s="31"/>
      <c r="H38" s="31"/>
      <c r="I38" s="6"/>
    </row>
    <row r="39" spans="1:9" x14ac:dyDescent="0.35">
      <c r="A39" s="3"/>
      <c r="B39" s="31"/>
      <c r="C39" s="31"/>
      <c r="D39" s="31"/>
      <c r="E39" s="5"/>
      <c r="F39" s="31"/>
      <c r="G39" s="31"/>
      <c r="H39" s="31"/>
      <c r="I39" s="6"/>
    </row>
  </sheetData>
  <mergeCells count="78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F34:H34"/>
    <mergeCell ref="B29:D29"/>
    <mergeCell ref="F29:H29"/>
    <mergeCell ref="B30:D30"/>
    <mergeCell ref="F30:H30"/>
    <mergeCell ref="B31:D31"/>
    <mergeCell ref="F31:H31"/>
    <mergeCell ref="B38:D38"/>
    <mergeCell ref="F38:H38"/>
    <mergeCell ref="B39:D39"/>
    <mergeCell ref="F39:H39"/>
    <mergeCell ref="N7:O7"/>
    <mergeCell ref="B35:D35"/>
    <mergeCell ref="F35:H35"/>
    <mergeCell ref="B36:D36"/>
    <mergeCell ref="F36:H36"/>
    <mergeCell ref="B37:D37"/>
    <mergeCell ref="F37:H37"/>
    <mergeCell ref="B32:D32"/>
    <mergeCell ref="F32:H32"/>
    <mergeCell ref="B33:D33"/>
    <mergeCell ref="F33:H33"/>
    <mergeCell ref="B34:D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K40"/>
  <sheetViews>
    <sheetView topLeftCell="A20" workbookViewId="0">
      <selection activeCell="B32" sqref="B32:D32"/>
    </sheetView>
  </sheetViews>
  <sheetFormatPr defaultRowHeight="14.5" x14ac:dyDescent="0.35"/>
  <cols>
    <col min="5" max="5" width="9.54296875" customWidth="1"/>
    <col min="9" max="9" width="9.54296875" customWidth="1"/>
    <col min="11" max="11" width="9.90625" bestFit="1" customWidth="1"/>
  </cols>
  <sheetData>
    <row r="1" spans="1:9" ht="20" thickBot="1" x14ac:dyDescent="0.5">
      <c r="A1" s="32" t="s">
        <v>169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45714</v>
      </c>
      <c r="B3" s="33"/>
      <c r="C3" s="34"/>
      <c r="D3" s="35"/>
      <c r="E3" s="5"/>
      <c r="F3" s="33" t="s">
        <v>168</v>
      </c>
      <c r="G3" s="34"/>
      <c r="H3" s="35"/>
      <c r="I3" s="6">
        <v>170</v>
      </c>
    </row>
    <row r="4" spans="1:9" x14ac:dyDescent="0.35">
      <c r="A4" s="4">
        <v>45726</v>
      </c>
      <c r="B4" s="31"/>
      <c r="C4" s="31"/>
      <c r="D4" s="31"/>
      <c r="E4" s="5"/>
      <c r="F4" s="31" t="s">
        <v>170</v>
      </c>
      <c r="G4" s="31"/>
      <c r="H4" s="31"/>
      <c r="I4" s="6">
        <v>165</v>
      </c>
    </row>
    <row r="5" spans="1:9" x14ac:dyDescent="0.35">
      <c r="A5" s="4">
        <v>45726</v>
      </c>
      <c r="B5" s="31"/>
      <c r="C5" s="31"/>
      <c r="D5" s="31"/>
      <c r="E5" s="5"/>
      <c r="F5" s="31" t="s">
        <v>172</v>
      </c>
      <c r="G5" s="31"/>
      <c r="H5" s="31"/>
      <c r="I5" s="6">
        <v>3220</v>
      </c>
    </row>
    <row r="6" spans="1:9" x14ac:dyDescent="0.35">
      <c r="A6" s="4">
        <v>45727</v>
      </c>
      <c r="B6" s="31"/>
      <c r="C6" s="31"/>
      <c r="D6" s="31"/>
      <c r="E6" s="5"/>
      <c r="F6" s="31" t="s">
        <v>171</v>
      </c>
      <c r="G6" s="31"/>
      <c r="H6" s="31"/>
      <c r="I6" s="6">
        <v>120</v>
      </c>
    </row>
    <row r="7" spans="1:9" x14ac:dyDescent="0.35">
      <c r="A7" s="4">
        <v>45730</v>
      </c>
      <c r="B7" s="31"/>
      <c r="C7" s="31"/>
      <c r="D7" s="31"/>
      <c r="E7" s="5"/>
      <c r="F7" s="31" t="s">
        <v>173</v>
      </c>
      <c r="G7" s="31"/>
      <c r="H7" s="31"/>
      <c r="I7" s="6">
        <v>30</v>
      </c>
    </row>
    <row r="8" spans="1:9" ht="15.5" x14ac:dyDescent="0.45">
      <c r="A8" s="4">
        <v>45734</v>
      </c>
      <c r="B8" s="31" t="s">
        <v>26</v>
      </c>
      <c r="C8" s="31"/>
      <c r="D8" s="31"/>
      <c r="E8" s="5">
        <v>2030</v>
      </c>
      <c r="F8" s="31"/>
      <c r="G8" s="31"/>
      <c r="H8" s="31"/>
      <c r="I8" s="11"/>
    </row>
    <row r="9" spans="1:9" x14ac:dyDescent="0.35">
      <c r="A9" s="3"/>
      <c r="B9" s="31" t="s">
        <v>29</v>
      </c>
      <c r="C9" s="31"/>
      <c r="D9" s="31"/>
      <c r="E9" s="5">
        <v>1675</v>
      </c>
      <c r="F9" s="31"/>
      <c r="G9" s="31"/>
      <c r="H9" s="31"/>
      <c r="I9" s="6"/>
    </row>
    <row r="10" spans="1:9" ht="15.5" x14ac:dyDescent="0.45">
      <c r="A10" s="3"/>
      <c r="B10" s="31"/>
      <c r="C10" s="31"/>
      <c r="D10" s="31"/>
      <c r="E10" s="12">
        <v>3705</v>
      </c>
      <c r="F10" s="31"/>
      <c r="G10" s="31"/>
      <c r="H10" s="31"/>
      <c r="I10" s="11">
        <f>SUM(I3:I7)</f>
        <v>3705</v>
      </c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4"/>
      <c r="B12" s="31"/>
      <c r="C12" s="31"/>
      <c r="D12" s="31"/>
      <c r="E12" s="5"/>
      <c r="F12" s="42" t="s">
        <v>4</v>
      </c>
      <c r="G12" s="42"/>
      <c r="H12" s="42"/>
      <c r="I12" s="15">
        <v>1675</v>
      </c>
    </row>
    <row r="13" spans="1:9" x14ac:dyDescent="0.35">
      <c r="A13" s="4">
        <v>45736</v>
      </c>
      <c r="B13" s="31"/>
      <c r="C13" s="31"/>
      <c r="D13" s="31"/>
      <c r="E13" s="5"/>
      <c r="F13" s="31" t="s">
        <v>175</v>
      </c>
      <c r="G13" s="31"/>
      <c r="H13" s="31"/>
      <c r="I13" s="6">
        <v>150</v>
      </c>
    </row>
    <row r="14" spans="1:9" x14ac:dyDescent="0.35">
      <c r="A14" s="4">
        <v>45750</v>
      </c>
      <c r="B14" s="31"/>
      <c r="C14" s="31"/>
      <c r="D14" s="31"/>
      <c r="E14" s="5"/>
      <c r="F14" s="31" t="s">
        <v>187</v>
      </c>
      <c r="G14" s="31"/>
      <c r="H14" s="31"/>
      <c r="I14" s="6">
        <v>150</v>
      </c>
    </row>
    <row r="15" spans="1:9" x14ac:dyDescent="0.35">
      <c r="A15" s="4">
        <v>45751</v>
      </c>
      <c r="B15" s="31" t="s">
        <v>175</v>
      </c>
      <c r="C15" s="31"/>
      <c r="D15" s="31"/>
      <c r="E15" s="5">
        <v>150</v>
      </c>
      <c r="F15" s="31"/>
      <c r="G15" s="31"/>
      <c r="H15" s="31"/>
      <c r="I15" s="6"/>
    </row>
    <row r="16" spans="1:9" x14ac:dyDescent="0.35">
      <c r="A16" s="4"/>
      <c r="B16" s="31" t="s">
        <v>187</v>
      </c>
      <c r="C16" s="31"/>
      <c r="D16" s="31"/>
      <c r="E16" s="5">
        <v>150</v>
      </c>
      <c r="F16" s="31"/>
      <c r="G16" s="31"/>
      <c r="H16" s="31"/>
      <c r="I16" s="6"/>
    </row>
    <row r="17" spans="1:11" x14ac:dyDescent="0.35">
      <c r="A17" s="4"/>
      <c r="B17" s="31" t="s">
        <v>21</v>
      </c>
      <c r="C17" s="31"/>
      <c r="D17" s="31"/>
      <c r="E17" s="5">
        <v>1680</v>
      </c>
      <c r="F17" s="31"/>
      <c r="G17" s="31"/>
      <c r="H17" s="31"/>
      <c r="I17" s="6"/>
    </row>
    <row r="18" spans="1:11" ht="15.5" x14ac:dyDescent="0.45">
      <c r="A18" s="4"/>
      <c r="B18" s="31"/>
      <c r="C18" s="31"/>
      <c r="D18" s="31"/>
      <c r="E18" s="12">
        <v>1975</v>
      </c>
      <c r="F18" s="31"/>
      <c r="G18" s="31"/>
      <c r="H18" s="31"/>
      <c r="I18" s="11">
        <f>SUM(I12:I14)</f>
        <v>1975</v>
      </c>
    </row>
    <row r="19" spans="1:11" x14ac:dyDescent="0.35">
      <c r="A19" s="4">
        <v>45800</v>
      </c>
      <c r="B19" s="31"/>
      <c r="C19" s="31"/>
      <c r="D19" s="31"/>
      <c r="E19" s="5"/>
      <c r="F19" s="31" t="s">
        <v>220</v>
      </c>
      <c r="G19" s="31"/>
      <c r="H19" s="31"/>
      <c r="I19" s="6">
        <v>1300</v>
      </c>
    </row>
    <row r="20" spans="1:11" x14ac:dyDescent="0.35">
      <c r="A20" s="4">
        <v>45800</v>
      </c>
      <c r="B20" s="31" t="s">
        <v>24</v>
      </c>
      <c r="C20" s="31"/>
      <c r="D20" s="31"/>
      <c r="E20" s="5">
        <v>650</v>
      </c>
      <c r="F20" s="42"/>
      <c r="G20" s="42"/>
      <c r="H20" s="42"/>
      <c r="I20" s="15"/>
    </row>
    <row r="21" spans="1:11" x14ac:dyDescent="0.35">
      <c r="A21" s="4">
        <v>45836</v>
      </c>
      <c r="B21" s="31" t="s">
        <v>24</v>
      </c>
      <c r="C21" s="31"/>
      <c r="D21" s="31"/>
      <c r="E21" s="5">
        <v>650</v>
      </c>
      <c r="F21" s="31"/>
      <c r="G21" s="31"/>
      <c r="H21" s="31"/>
      <c r="I21" s="6"/>
    </row>
    <row r="22" spans="1:11" x14ac:dyDescent="0.35">
      <c r="A22" s="4">
        <v>45852</v>
      </c>
      <c r="B22" s="31"/>
      <c r="C22" s="31"/>
      <c r="D22" s="31"/>
      <c r="E22" s="5"/>
      <c r="F22" s="31" t="s">
        <v>238</v>
      </c>
      <c r="G22" s="31"/>
      <c r="H22" s="31"/>
      <c r="I22" s="6">
        <v>520</v>
      </c>
    </row>
    <row r="23" spans="1:11" x14ac:dyDescent="0.35">
      <c r="A23" s="3"/>
      <c r="B23" s="31" t="s">
        <v>67</v>
      </c>
      <c r="C23" s="31"/>
      <c r="D23" s="31"/>
      <c r="E23" s="5">
        <v>520</v>
      </c>
      <c r="F23" s="31"/>
      <c r="G23" s="31"/>
      <c r="H23" s="31"/>
      <c r="I23" s="6"/>
    </row>
    <row r="24" spans="1:11" x14ac:dyDescent="0.35">
      <c r="A24" s="4">
        <v>45875</v>
      </c>
      <c r="B24" s="31"/>
      <c r="C24" s="31"/>
      <c r="D24" s="31"/>
      <c r="E24" s="5"/>
      <c r="F24" s="31" t="s">
        <v>240</v>
      </c>
      <c r="G24" s="31"/>
      <c r="H24" s="31"/>
      <c r="I24" s="6">
        <v>755</v>
      </c>
    </row>
    <row r="25" spans="1:11" x14ac:dyDescent="0.35">
      <c r="A25" s="3"/>
      <c r="B25" s="31"/>
      <c r="C25" s="31"/>
      <c r="D25" s="31"/>
      <c r="E25" s="5"/>
      <c r="F25" s="31" t="s">
        <v>241</v>
      </c>
      <c r="G25" s="31"/>
      <c r="H25" s="31"/>
      <c r="I25" s="6">
        <v>780</v>
      </c>
    </row>
    <row r="26" spans="1:11" x14ac:dyDescent="0.35">
      <c r="A26" s="3"/>
      <c r="B26" s="31" t="s">
        <v>67</v>
      </c>
      <c r="C26" s="31"/>
      <c r="D26" s="31"/>
      <c r="E26" s="5">
        <v>600</v>
      </c>
      <c r="F26" s="31"/>
      <c r="G26" s="31"/>
      <c r="H26" s="31"/>
      <c r="I26" s="6"/>
    </row>
    <row r="27" spans="1:11" x14ac:dyDescent="0.35">
      <c r="A27" s="4">
        <v>45891</v>
      </c>
      <c r="B27" s="31"/>
      <c r="C27" s="31"/>
      <c r="D27" s="31"/>
      <c r="E27" s="5"/>
      <c r="F27" s="31" t="s">
        <v>243</v>
      </c>
      <c r="G27" s="31"/>
      <c r="H27" s="31"/>
      <c r="I27" s="6">
        <v>80</v>
      </c>
    </row>
    <row r="28" spans="1:11" x14ac:dyDescent="0.35">
      <c r="A28" s="4">
        <v>45891</v>
      </c>
      <c r="B28" s="31" t="s">
        <v>21</v>
      </c>
      <c r="C28" s="31"/>
      <c r="D28" s="31"/>
      <c r="E28" s="5">
        <v>1015</v>
      </c>
      <c r="F28" s="31"/>
      <c r="G28" s="31"/>
      <c r="H28" s="31"/>
      <c r="I28" s="6"/>
      <c r="K28" s="9"/>
    </row>
    <row r="29" spans="1:11" x14ac:dyDescent="0.35">
      <c r="A29" s="3"/>
      <c r="B29" s="31"/>
      <c r="C29" s="31"/>
      <c r="D29" s="31"/>
      <c r="E29" s="5"/>
      <c r="F29" s="31"/>
      <c r="G29" s="31"/>
      <c r="H29" s="31"/>
      <c r="I29" s="6"/>
      <c r="K29" s="9"/>
    </row>
    <row r="30" spans="1:11" ht="15.5" x14ac:dyDescent="0.45">
      <c r="A30" s="3"/>
      <c r="B30" s="31"/>
      <c r="C30" s="31"/>
      <c r="D30" s="31"/>
      <c r="E30" s="12">
        <f>I30</f>
        <v>3435</v>
      </c>
      <c r="F30" s="31"/>
      <c r="G30" s="31"/>
      <c r="H30" s="31"/>
      <c r="I30" s="11">
        <f>SUM(I19:I27)</f>
        <v>3435</v>
      </c>
    </row>
    <row r="31" spans="1:11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11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  <row r="38" spans="1:9" x14ac:dyDescent="0.35">
      <c r="A38" s="3"/>
      <c r="B38" s="31"/>
      <c r="C38" s="31"/>
      <c r="D38" s="31"/>
      <c r="E38" s="5"/>
      <c r="F38" s="31"/>
      <c r="G38" s="31"/>
      <c r="H38" s="31"/>
      <c r="I38" s="6"/>
    </row>
    <row r="39" spans="1:9" x14ac:dyDescent="0.35">
      <c r="A39" s="3"/>
      <c r="B39" s="31"/>
      <c r="C39" s="31"/>
      <c r="D39" s="31"/>
      <c r="E39" s="5"/>
      <c r="F39" s="31"/>
      <c r="G39" s="31"/>
      <c r="H39" s="31"/>
      <c r="I39" s="6"/>
    </row>
    <row r="40" spans="1:9" x14ac:dyDescent="0.35">
      <c r="A40" s="3"/>
      <c r="B40" s="31"/>
      <c r="C40" s="31"/>
      <c r="D40" s="31"/>
      <c r="E40" s="5"/>
      <c r="F40" s="31"/>
      <c r="G40" s="31"/>
      <c r="H40" s="31"/>
      <c r="I40" s="6"/>
    </row>
  </sheetData>
  <mergeCells count="79">
    <mergeCell ref="B15:D15"/>
    <mergeCell ref="F15:H15"/>
    <mergeCell ref="B39:D39"/>
    <mergeCell ref="F39:H39"/>
    <mergeCell ref="B40:D40"/>
    <mergeCell ref="F40:H40"/>
    <mergeCell ref="B38:D38"/>
    <mergeCell ref="F38:H38"/>
    <mergeCell ref="B32:D32"/>
    <mergeCell ref="F32:H32"/>
    <mergeCell ref="B26:D26"/>
    <mergeCell ref="F26:H26"/>
    <mergeCell ref="B27:D27"/>
    <mergeCell ref="F27:H27"/>
    <mergeCell ref="B28:D28"/>
    <mergeCell ref="F28:H28"/>
    <mergeCell ref="B5:D5"/>
    <mergeCell ref="F5:H5"/>
    <mergeCell ref="B36:D36"/>
    <mergeCell ref="F36:H36"/>
    <mergeCell ref="B37:D37"/>
    <mergeCell ref="F37:H37"/>
    <mergeCell ref="B33:D33"/>
    <mergeCell ref="F33:H33"/>
    <mergeCell ref="B34:D34"/>
    <mergeCell ref="F34:H34"/>
    <mergeCell ref="B35:D35"/>
    <mergeCell ref="F35:H35"/>
    <mergeCell ref="B30:D30"/>
    <mergeCell ref="F30:H30"/>
    <mergeCell ref="B31:D31"/>
    <mergeCell ref="F31:H31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16:D16"/>
    <mergeCell ref="F16:H16"/>
    <mergeCell ref="B18:D18"/>
    <mergeCell ref="F18:H18"/>
    <mergeCell ref="B19:D19"/>
    <mergeCell ref="F19:H19"/>
    <mergeCell ref="B17:D17"/>
    <mergeCell ref="F17:H17"/>
    <mergeCell ref="B12:D12"/>
    <mergeCell ref="F12:H12"/>
    <mergeCell ref="B13:D13"/>
    <mergeCell ref="F13:H13"/>
    <mergeCell ref="B14:D14"/>
    <mergeCell ref="F14:H14"/>
    <mergeCell ref="F9:H9"/>
    <mergeCell ref="B10:D10"/>
    <mergeCell ref="F10:H10"/>
    <mergeCell ref="B11:D11"/>
    <mergeCell ref="F11:H11"/>
    <mergeCell ref="B29:D29"/>
    <mergeCell ref="F29:H29"/>
    <mergeCell ref="B4:D4"/>
    <mergeCell ref="F4:H4"/>
    <mergeCell ref="A1:I1"/>
    <mergeCell ref="B2:D2"/>
    <mergeCell ref="F2:H2"/>
    <mergeCell ref="B3:D3"/>
    <mergeCell ref="F3:H3"/>
    <mergeCell ref="B6:D6"/>
    <mergeCell ref="F6:H6"/>
    <mergeCell ref="B7:D7"/>
    <mergeCell ref="F7:H7"/>
    <mergeCell ref="B8:D8"/>
    <mergeCell ref="F8:H8"/>
    <mergeCell ref="B9:D9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I33"/>
  <sheetViews>
    <sheetView workbookViewId="0">
      <selection activeCell="E11" sqref="E11"/>
    </sheetView>
  </sheetViews>
  <sheetFormatPr defaultRowHeight="14.5" x14ac:dyDescent="0.35"/>
  <cols>
    <col min="5" max="5" width="10.1796875" customWidth="1"/>
    <col min="9" max="9" width="10.1796875" customWidth="1"/>
  </cols>
  <sheetData>
    <row r="1" spans="1:9" ht="20" thickBot="1" x14ac:dyDescent="0.5">
      <c r="A1" s="32" t="s">
        <v>244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/>
      <c r="B3" s="33" t="s">
        <v>24</v>
      </c>
      <c r="C3" s="34"/>
      <c r="D3" s="35"/>
      <c r="E3" s="5">
        <v>100</v>
      </c>
      <c r="F3" s="33" t="s">
        <v>245</v>
      </c>
      <c r="G3" s="34"/>
      <c r="H3" s="35"/>
      <c r="I3" s="6">
        <v>30</v>
      </c>
    </row>
    <row r="4" spans="1:9" x14ac:dyDescent="0.35">
      <c r="A4" s="4"/>
      <c r="B4" s="31"/>
      <c r="C4" s="31"/>
      <c r="D4" s="31"/>
      <c r="E4" s="5"/>
      <c r="F4" s="31" t="s">
        <v>246</v>
      </c>
      <c r="G4" s="31"/>
      <c r="H4" s="31"/>
      <c r="I4" s="6">
        <v>30</v>
      </c>
    </row>
    <row r="5" spans="1:9" x14ac:dyDescent="0.35">
      <c r="A5" s="4"/>
      <c r="B5" s="31"/>
      <c r="C5" s="31"/>
      <c r="D5" s="31"/>
      <c r="E5" s="5"/>
      <c r="F5" s="31" t="s">
        <v>247</v>
      </c>
      <c r="G5" s="31"/>
      <c r="H5" s="31"/>
      <c r="I5" s="6">
        <v>40</v>
      </c>
    </row>
    <row r="6" spans="1:9" x14ac:dyDescent="0.35">
      <c r="A6" s="4"/>
      <c r="B6" s="31"/>
      <c r="C6" s="31"/>
      <c r="D6" s="31"/>
      <c r="E6" s="5"/>
      <c r="F6" s="31" t="s">
        <v>248</v>
      </c>
      <c r="G6" s="31"/>
      <c r="H6" s="31"/>
      <c r="I6" s="6">
        <v>20</v>
      </c>
    </row>
    <row r="7" spans="1:9" x14ac:dyDescent="0.35">
      <c r="A7" s="4"/>
      <c r="B7" s="31"/>
      <c r="C7" s="31"/>
      <c r="D7" s="31"/>
      <c r="E7" s="5"/>
      <c r="F7" s="31" t="s">
        <v>249</v>
      </c>
      <c r="G7" s="31"/>
      <c r="H7" s="31"/>
      <c r="I7" s="6">
        <v>20</v>
      </c>
    </row>
    <row r="8" spans="1:9" ht="15.5" x14ac:dyDescent="0.45">
      <c r="A8" s="4">
        <v>45891</v>
      </c>
      <c r="B8" s="31" t="s">
        <v>29</v>
      </c>
      <c r="C8" s="31"/>
      <c r="D8" s="31"/>
      <c r="E8" s="5">
        <f>E9-E3</f>
        <v>40</v>
      </c>
      <c r="F8" s="31"/>
      <c r="G8" s="31"/>
      <c r="H8" s="31"/>
      <c r="I8" s="11"/>
    </row>
    <row r="9" spans="1:9" ht="15.5" x14ac:dyDescent="0.45">
      <c r="A9" s="3"/>
      <c r="B9" s="31"/>
      <c r="C9" s="31"/>
      <c r="D9" s="31"/>
      <c r="E9" s="12">
        <f>I9</f>
        <v>140</v>
      </c>
      <c r="F9" s="31"/>
      <c r="G9" s="31"/>
      <c r="H9" s="31"/>
      <c r="I9" s="11">
        <f>SUM(I3:I7)</f>
        <v>140</v>
      </c>
    </row>
    <row r="10" spans="1:9" ht="15.5" x14ac:dyDescent="0.45">
      <c r="A10" s="3"/>
      <c r="B10" s="31"/>
      <c r="C10" s="31"/>
      <c r="D10" s="31"/>
      <c r="E10" s="12"/>
      <c r="F10" s="31"/>
      <c r="G10" s="31"/>
      <c r="H10" s="31"/>
      <c r="I10" s="11"/>
    </row>
    <row r="11" spans="1:9" x14ac:dyDescent="0.35">
      <c r="A11" s="4"/>
      <c r="B11" s="31"/>
      <c r="C11" s="31"/>
      <c r="D11" s="31"/>
      <c r="E11" s="5" t="s">
        <v>19</v>
      </c>
      <c r="F11" s="31" t="s">
        <v>4</v>
      </c>
      <c r="G11" s="31"/>
      <c r="H11" s="31"/>
      <c r="I11" s="6">
        <v>40</v>
      </c>
    </row>
    <row r="12" spans="1:9" x14ac:dyDescent="0.35">
      <c r="A12" s="4"/>
      <c r="B12" s="31"/>
      <c r="C12" s="31"/>
      <c r="D12" s="31"/>
      <c r="E12" s="5"/>
      <c r="F12" s="42"/>
      <c r="G12" s="42"/>
      <c r="H12" s="42"/>
      <c r="I12" s="15"/>
    </row>
    <row r="13" spans="1:9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4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4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4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4"/>
      <c r="B17" s="31"/>
      <c r="C17" s="31"/>
      <c r="D17" s="31"/>
      <c r="E17" s="5"/>
      <c r="F17" s="31"/>
      <c r="G17" s="31"/>
      <c r="H17" s="31"/>
      <c r="I17" s="6"/>
    </row>
    <row r="18" spans="1:9" ht="15.5" x14ac:dyDescent="0.45">
      <c r="A18" s="4"/>
      <c r="B18" s="31"/>
      <c r="C18" s="31"/>
      <c r="D18" s="31"/>
      <c r="E18" s="12"/>
      <c r="F18" s="31"/>
      <c r="G18" s="31"/>
      <c r="H18" s="31"/>
      <c r="I18" s="11"/>
    </row>
    <row r="19" spans="1:9" x14ac:dyDescent="0.35">
      <c r="A19" s="4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4"/>
      <c r="B20" s="31"/>
      <c r="C20" s="31"/>
      <c r="D20" s="31"/>
      <c r="E20" s="5"/>
      <c r="F20" s="42"/>
      <c r="G20" s="42"/>
      <c r="H20" s="42"/>
      <c r="I20" s="15"/>
    </row>
    <row r="21" spans="1:9" x14ac:dyDescent="0.35">
      <c r="A21" s="4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4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4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4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4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ht="15.5" x14ac:dyDescent="0.45">
      <c r="A30" s="3"/>
      <c r="B30" s="31"/>
      <c r="C30" s="31"/>
      <c r="D30" s="31"/>
      <c r="E30" s="12"/>
      <c r="F30" s="31"/>
      <c r="G30" s="31"/>
      <c r="H30" s="31"/>
      <c r="I30" s="11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</sheetData>
  <mergeCells count="65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32:D32"/>
    <mergeCell ref="F32:H32"/>
    <mergeCell ref="B33:D33"/>
    <mergeCell ref="F33:H33"/>
    <mergeCell ref="B29:D29"/>
    <mergeCell ref="F29:H29"/>
    <mergeCell ref="B30:D30"/>
    <mergeCell ref="F30:H30"/>
    <mergeCell ref="B31:D31"/>
    <mergeCell ref="F31:H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36"/>
  <sheetViews>
    <sheetView topLeftCell="A19" workbookViewId="0">
      <selection sqref="A1:I36"/>
    </sheetView>
  </sheetViews>
  <sheetFormatPr defaultRowHeight="14.5" x14ac:dyDescent="0.35"/>
  <cols>
    <col min="5" max="5" width="9.1796875" bestFit="1" customWidth="1"/>
    <col min="9" max="9" width="9.1796875" bestFit="1" customWidth="1"/>
  </cols>
  <sheetData>
    <row r="1" spans="1:9" ht="20" thickBot="1" x14ac:dyDescent="0.5">
      <c r="A1" s="32" t="s">
        <v>127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45682</v>
      </c>
      <c r="B3" s="33"/>
      <c r="C3" s="34"/>
      <c r="D3" s="35"/>
      <c r="E3" s="5"/>
      <c r="F3" s="33" t="s">
        <v>128</v>
      </c>
      <c r="G3" s="34"/>
      <c r="H3" s="35"/>
      <c r="I3" s="6">
        <v>2950</v>
      </c>
    </row>
    <row r="4" spans="1:9" x14ac:dyDescent="0.35">
      <c r="A4" s="4">
        <v>45682</v>
      </c>
      <c r="B4" s="31" t="s">
        <v>24</v>
      </c>
      <c r="C4" s="31"/>
      <c r="D4" s="31"/>
      <c r="E4" s="5">
        <v>1150</v>
      </c>
      <c r="F4" s="31"/>
      <c r="G4" s="31"/>
      <c r="H4" s="31"/>
      <c r="I4" s="6"/>
    </row>
    <row r="5" spans="1:9" x14ac:dyDescent="0.35">
      <c r="A5" s="4"/>
      <c r="B5" s="31" t="s">
        <v>24</v>
      </c>
      <c r="C5" s="31"/>
      <c r="D5" s="31"/>
      <c r="E5" s="5">
        <v>700</v>
      </c>
      <c r="F5" s="31"/>
      <c r="G5" s="31"/>
      <c r="H5" s="31"/>
      <c r="I5" s="6"/>
    </row>
    <row r="6" spans="1:9" x14ac:dyDescent="0.35">
      <c r="A6" s="4">
        <v>45699</v>
      </c>
      <c r="B6" s="31" t="s">
        <v>24</v>
      </c>
      <c r="C6" s="31"/>
      <c r="D6" s="31"/>
      <c r="E6" s="5">
        <v>1100</v>
      </c>
      <c r="F6" s="31"/>
      <c r="G6" s="31"/>
      <c r="H6" s="31"/>
      <c r="I6" s="6"/>
    </row>
    <row r="7" spans="1:9" ht="15.5" x14ac:dyDescent="0.45">
      <c r="A7" s="4"/>
      <c r="B7" s="31"/>
      <c r="C7" s="31"/>
      <c r="D7" s="31"/>
      <c r="E7" s="5"/>
      <c r="F7" s="31"/>
      <c r="G7" s="31"/>
      <c r="H7" s="31"/>
      <c r="I7" s="11"/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3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M36"/>
  <sheetViews>
    <sheetView topLeftCell="A16" workbookViewId="0">
      <selection activeCell="F34" sqref="F34:H34"/>
    </sheetView>
  </sheetViews>
  <sheetFormatPr defaultRowHeight="14.5" x14ac:dyDescent="0.35"/>
  <cols>
    <col min="5" max="5" width="9.1796875" bestFit="1" customWidth="1"/>
    <col min="9" max="9" width="9.1796875" bestFit="1" customWidth="1"/>
    <col min="13" max="13" width="9.90625" bestFit="1" customWidth="1"/>
  </cols>
  <sheetData>
    <row r="1" spans="1:13" ht="20" thickBot="1" x14ac:dyDescent="0.5">
      <c r="A1" s="32" t="s">
        <v>131</v>
      </c>
      <c r="B1" s="32"/>
      <c r="C1" s="32"/>
      <c r="D1" s="32"/>
      <c r="E1" s="32"/>
      <c r="F1" s="32"/>
      <c r="G1" s="32"/>
      <c r="H1" s="32"/>
      <c r="I1" s="32"/>
    </row>
    <row r="2" spans="1:13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13" x14ac:dyDescent="0.35">
      <c r="A3" s="4">
        <v>45699</v>
      </c>
      <c r="B3" s="33"/>
      <c r="C3" s="34"/>
      <c r="D3" s="35"/>
      <c r="E3" s="5"/>
      <c r="F3" s="33" t="s">
        <v>132</v>
      </c>
      <c r="G3" s="34"/>
      <c r="H3" s="35"/>
      <c r="I3" s="6">
        <v>940</v>
      </c>
    </row>
    <row r="4" spans="1:13" x14ac:dyDescent="0.35">
      <c r="A4" s="4"/>
      <c r="B4" s="31"/>
      <c r="C4" s="31"/>
      <c r="D4" s="31"/>
      <c r="E4" s="5"/>
      <c r="F4" s="31" t="s">
        <v>133</v>
      </c>
      <c r="G4" s="31"/>
      <c r="H4" s="31"/>
      <c r="I4" s="6">
        <v>130</v>
      </c>
    </row>
    <row r="5" spans="1:13" x14ac:dyDescent="0.35">
      <c r="A5" s="4"/>
      <c r="B5" s="31"/>
      <c r="C5" s="31"/>
      <c r="D5" s="31"/>
      <c r="E5" s="5"/>
      <c r="F5" s="31" t="s">
        <v>134</v>
      </c>
      <c r="G5" s="31"/>
      <c r="H5" s="31"/>
      <c r="I5" s="6">
        <v>60</v>
      </c>
    </row>
    <row r="6" spans="1:13" x14ac:dyDescent="0.35">
      <c r="A6" s="4">
        <v>45700</v>
      </c>
      <c r="B6" s="31" t="s">
        <v>29</v>
      </c>
      <c r="C6" s="31"/>
      <c r="D6" s="31"/>
      <c r="E6" s="5">
        <v>1130</v>
      </c>
      <c r="F6" s="31"/>
      <c r="G6" s="31"/>
      <c r="H6" s="31"/>
      <c r="I6" s="6"/>
    </row>
    <row r="7" spans="1:13" ht="15.5" x14ac:dyDescent="0.45">
      <c r="A7" s="4"/>
      <c r="B7" s="31"/>
      <c r="C7" s="31"/>
      <c r="D7" s="31"/>
      <c r="E7" s="16">
        <v>1130</v>
      </c>
      <c r="F7" s="31"/>
      <c r="G7" s="31"/>
      <c r="H7" s="31"/>
      <c r="I7" s="17">
        <f>SUM(I3:I5)</f>
        <v>1130</v>
      </c>
    </row>
    <row r="8" spans="1:13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13" x14ac:dyDescent="0.35">
      <c r="A9" s="4">
        <v>45701</v>
      </c>
      <c r="B9" s="31"/>
      <c r="C9" s="31"/>
      <c r="D9" s="31"/>
      <c r="E9" s="5"/>
      <c r="F9" s="42" t="s">
        <v>126</v>
      </c>
      <c r="G9" s="42"/>
      <c r="H9" s="42"/>
      <c r="I9" s="15">
        <v>1130</v>
      </c>
    </row>
    <row r="10" spans="1:13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13" x14ac:dyDescent="0.35">
      <c r="A11" s="4">
        <v>45713</v>
      </c>
      <c r="B11" s="31" t="s">
        <v>26</v>
      </c>
      <c r="C11" s="31"/>
      <c r="D11" s="31"/>
      <c r="E11" s="5">
        <v>1130</v>
      </c>
      <c r="F11" s="31"/>
      <c r="G11" s="31"/>
      <c r="H11" s="31"/>
      <c r="I11" s="6"/>
    </row>
    <row r="12" spans="1:13" x14ac:dyDescent="0.35">
      <c r="A12" s="4">
        <v>45730</v>
      </c>
      <c r="B12" s="31"/>
      <c r="C12" s="31"/>
      <c r="D12" s="31"/>
      <c r="E12" s="5"/>
      <c r="F12" s="31" t="s">
        <v>167</v>
      </c>
      <c r="G12" s="31"/>
      <c r="H12" s="31"/>
      <c r="I12" s="6">
        <v>150</v>
      </c>
    </row>
    <row r="13" spans="1:13" x14ac:dyDescent="0.35">
      <c r="A13" s="4">
        <v>45730</v>
      </c>
      <c r="B13" s="31" t="s">
        <v>167</v>
      </c>
      <c r="C13" s="31"/>
      <c r="D13" s="31"/>
      <c r="E13" s="5">
        <v>150</v>
      </c>
      <c r="F13" s="31"/>
      <c r="G13" s="31"/>
      <c r="H13" s="31"/>
      <c r="I13" s="6"/>
      <c r="M13" s="9">
        <f>SUM(E11:E17)</f>
        <v>2050</v>
      </c>
    </row>
    <row r="14" spans="1:13" x14ac:dyDescent="0.35">
      <c r="A14" s="4">
        <v>45762</v>
      </c>
      <c r="B14" s="31"/>
      <c r="C14" s="31"/>
      <c r="D14" s="31"/>
      <c r="E14" s="5"/>
      <c r="F14" s="31" t="s">
        <v>210</v>
      </c>
      <c r="G14" s="31"/>
      <c r="H14" s="31"/>
      <c r="I14" s="6">
        <v>620</v>
      </c>
    </row>
    <row r="15" spans="1:13" x14ac:dyDescent="0.35">
      <c r="A15" s="3"/>
      <c r="B15" s="31" t="s">
        <v>210</v>
      </c>
      <c r="C15" s="31"/>
      <c r="D15" s="31"/>
      <c r="E15" s="5">
        <v>620</v>
      </c>
      <c r="F15" s="31"/>
      <c r="G15" s="31"/>
      <c r="H15" s="31"/>
      <c r="I15" s="6"/>
    </row>
    <row r="16" spans="1:13" x14ac:dyDescent="0.35">
      <c r="A16" s="4">
        <v>45771</v>
      </c>
      <c r="B16" s="31"/>
      <c r="C16" s="31"/>
      <c r="D16" s="31"/>
      <c r="E16" s="5"/>
      <c r="F16" s="31" t="s">
        <v>211</v>
      </c>
      <c r="G16" s="31"/>
      <c r="H16" s="31"/>
      <c r="I16" s="6">
        <v>150</v>
      </c>
    </row>
    <row r="17" spans="1:9" x14ac:dyDescent="0.35">
      <c r="A17" s="4">
        <v>45777</v>
      </c>
      <c r="B17" s="31" t="s">
        <v>211</v>
      </c>
      <c r="C17" s="31"/>
      <c r="D17" s="31"/>
      <c r="E17" s="5">
        <v>150</v>
      </c>
      <c r="F17" s="31"/>
      <c r="G17" s="31"/>
      <c r="H17" s="31"/>
      <c r="I17" s="6"/>
    </row>
    <row r="18" spans="1:9" x14ac:dyDescent="0.35">
      <c r="A18" s="4">
        <v>45778</v>
      </c>
      <c r="B18" s="31"/>
      <c r="C18" s="31"/>
      <c r="D18" s="31"/>
      <c r="E18" s="5"/>
      <c r="F18" s="31" t="s">
        <v>212</v>
      </c>
      <c r="G18" s="31"/>
      <c r="H18" s="31"/>
      <c r="I18" s="6">
        <v>185</v>
      </c>
    </row>
    <row r="19" spans="1:9" x14ac:dyDescent="0.35">
      <c r="A19" s="4">
        <v>45784</v>
      </c>
      <c r="B19" s="31"/>
      <c r="C19" s="31"/>
      <c r="D19" s="31"/>
      <c r="E19" s="5"/>
      <c r="F19" s="31" t="s">
        <v>213</v>
      </c>
      <c r="G19" s="31"/>
      <c r="H19" s="31"/>
      <c r="I19" s="6">
        <v>130</v>
      </c>
    </row>
    <row r="20" spans="1:9" x14ac:dyDescent="0.35">
      <c r="A20" s="4">
        <v>45785</v>
      </c>
      <c r="B20" s="31"/>
      <c r="C20" s="31"/>
      <c r="D20" s="31"/>
      <c r="E20" s="5"/>
      <c r="F20" s="31" t="s">
        <v>214</v>
      </c>
      <c r="G20" s="31"/>
      <c r="H20" s="31"/>
      <c r="I20" s="6">
        <v>410</v>
      </c>
    </row>
    <row r="21" spans="1:9" x14ac:dyDescent="0.35">
      <c r="A21" s="4">
        <v>45791</v>
      </c>
      <c r="B21" s="31"/>
      <c r="C21" s="31"/>
      <c r="D21" s="31"/>
      <c r="E21" s="5"/>
      <c r="F21" s="31" t="s">
        <v>215</v>
      </c>
      <c r="G21" s="31"/>
      <c r="H21" s="31"/>
      <c r="I21" s="6">
        <v>195</v>
      </c>
    </row>
    <row r="22" spans="1:9" x14ac:dyDescent="0.35">
      <c r="A22" s="4">
        <v>45791</v>
      </c>
      <c r="B22" s="31" t="s">
        <v>29</v>
      </c>
      <c r="C22" s="31"/>
      <c r="D22" s="31"/>
      <c r="E22" s="5">
        <f>E23-M13</f>
        <v>920</v>
      </c>
      <c r="F22" s="31"/>
      <c r="G22" s="31"/>
      <c r="H22" s="31"/>
      <c r="I22" s="6"/>
    </row>
    <row r="23" spans="1:9" ht="15.5" x14ac:dyDescent="0.45">
      <c r="A23" s="3"/>
      <c r="B23" s="31"/>
      <c r="C23" s="31"/>
      <c r="D23" s="31"/>
      <c r="E23" s="12">
        <f>I23</f>
        <v>2970</v>
      </c>
      <c r="F23" s="31"/>
      <c r="G23" s="31"/>
      <c r="H23" s="31"/>
      <c r="I23" s="11">
        <f>SUM(I9:I21)</f>
        <v>2970</v>
      </c>
    </row>
    <row r="24" spans="1:9" x14ac:dyDescent="0.35">
      <c r="A24" s="4">
        <v>45791</v>
      </c>
      <c r="B24" s="31"/>
      <c r="C24" s="31"/>
      <c r="D24" s="31"/>
      <c r="E24" s="5"/>
      <c r="F24" s="42" t="s">
        <v>126</v>
      </c>
      <c r="G24" s="42"/>
      <c r="H24" s="42"/>
      <c r="I24" s="15">
        <v>920</v>
      </c>
    </row>
    <row r="25" spans="1:9" x14ac:dyDescent="0.35">
      <c r="A25" s="4">
        <v>45791</v>
      </c>
      <c r="B25" s="31" t="s">
        <v>26</v>
      </c>
      <c r="C25" s="31"/>
      <c r="D25" s="31"/>
      <c r="E25" s="5">
        <v>890</v>
      </c>
      <c r="F25" s="31"/>
      <c r="G25" s="31"/>
      <c r="H25" s="31"/>
      <c r="I25" s="6"/>
    </row>
    <row r="26" spans="1:9" x14ac:dyDescent="0.35">
      <c r="A26" s="4">
        <v>45798</v>
      </c>
      <c r="B26" s="31"/>
      <c r="C26" s="31"/>
      <c r="D26" s="31"/>
      <c r="E26" s="5"/>
      <c r="F26" s="31" t="s">
        <v>218</v>
      </c>
      <c r="G26" s="31"/>
      <c r="H26" s="31"/>
      <c r="I26" s="6">
        <v>80</v>
      </c>
    </row>
    <row r="27" spans="1:9" x14ac:dyDescent="0.35">
      <c r="A27" s="4">
        <v>45805</v>
      </c>
      <c r="B27" s="31"/>
      <c r="C27" s="31"/>
      <c r="D27" s="31"/>
      <c r="E27" s="5"/>
      <c r="F27" s="31" t="s">
        <v>219</v>
      </c>
      <c r="G27" s="31"/>
      <c r="H27" s="31"/>
      <c r="I27" s="6">
        <v>450</v>
      </c>
    </row>
    <row r="28" spans="1:9" x14ac:dyDescent="0.35">
      <c r="A28" s="4">
        <v>45828</v>
      </c>
      <c r="B28" s="31" t="s">
        <v>29</v>
      </c>
      <c r="C28" s="31"/>
      <c r="D28" s="31"/>
      <c r="E28" s="5">
        <f>E29-E25</f>
        <v>560</v>
      </c>
      <c r="F28" s="31"/>
      <c r="G28" s="31"/>
      <c r="H28" s="31"/>
      <c r="I28" s="6"/>
    </row>
    <row r="29" spans="1:9" ht="15.5" x14ac:dyDescent="0.45">
      <c r="A29" s="3"/>
      <c r="B29" s="31"/>
      <c r="C29" s="31"/>
      <c r="D29" s="31"/>
      <c r="E29" s="12">
        <f>I29</f>
        <v>1450</v>
      </c>
      <c r="F29" s="31"/>
      <c r="G29" s="31"/>
      <c r="H29" s="31"/>
      <c r="I29" s="11">
        <f>SUM(I24:I27)</f>
        <v>1450</v>
      </c>
    </row>
    <row r="30" spans="1:9" x14ac:dyDescent="0.35">
      <c r="A30" s="4">
        <v>45828</v>
      </c>
      <c r="B30" s="31"/>
      <c r="C30" s="31"/>
      <c r="D30" s="31"/>
      <c r="E30" s="5"/>
      <c r="F30" s="42" t="s">
        <v>4</v>
      </c>
      <c r="G30" s="42"/>
      <c r="H30" s="42"/>
      <c r="I30" s="15">
        <f>E28</f>
        <v>560</v>
      </c>
    </row>
    <row r="31" spans="1:9" x14ac:dyDescent="0.35">
      <c r="A31" s="4">
        <v>45828</v>
      </c>
      <c r="B31" s="31" t="s">
        <v>219</v>
      </c>
      <c r="C31" s="31"/>
      <c r="D31" s="31"/>
      <c r="E31" s="5">
        <v>450</v>
      </c>
      <c r="F31" s="31"/>
      <c r="G31" s="31"/>
      <c r="H31" s="31"/>
      <c r="I31" s="6"/>
    </row>
    <row r="32" spans="1:9" x14ac:dyDescent="0.35">
      <c r="A32" s="4">
        <v>45897</v>
      </c>
      <c r="B32" s="31"/>
      <c r="C32" s="31"/>
      <c r="D32" s="31"/>
      <c r="E32" s="5"/>
      <c r="F32" s="31" t="s">
        <v>250</v>
      </c>
      <c r="G32" s="31"/>
      <c r="H32" s="31"/>
      <c r="I32" s="6">
        <v>210</v>
      </c>
    </row>
    <row r="33" spans="1:9" x14ac:dyDescent="0.35">
      <c r="A33" s="4">
        <v>45897</v>
      </c>
      <c r="B33" s="31" t="s">
        <v>250</v>
      </c>
      <c r="C33" s="31"/>
      <c r="D33" s="31"/>
      <c r="E33" s="5">
        <v>210</v>
      </c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9" sqref="E9"/>
    </sheetView>
  </sheetViews>
  <sheetFormatPr defaultRowHeight="14.5" x14ac:dyDescent="0.35"/>
  <sheetData>
    <row r="1" spans="1:9" ht="20" thickBot="1" x14ac:dyDescent="0.5">
      <c r="A1" s="32" t="s">
        <v>48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45499</v>
      </c>
      <c r="B3" s="33"/>
      <c r="C3" s="34"/>
      <c r="D3" s="35"/>
      <c r="E3" s="5"/>
      <c r="F3" s="33" t="s">
        <v>49</v>
      </c>
      <c r="G3" s="34"/>
      <c r="H3" s="35"/>
      <c r="I3" s="6">
        <v>350</v>
      </c>
    </row>
    <row r="4" spans="1:9" x14ac:dyDescent="0.35">
      <c r="A4" s="4">
        <v>45502</v>
      </c>
      <c r="B4" s="31" t="s">
        <v>24</v>
      </c>
      <c r="C4" s="31"/>
      <c r="D4" s="31"/>
      <c r="E4" s="5">
        <v>250</v>
      </c>
      <c r="F4" s="31"/>
      <c r="G4" s="31"/>
      <c r="H4" s="31"/>
      <c r="I4" s="6"/>
    </row>
    <row r="5" spans="1:9" x14ac:dyDescent="0.35">
      <c r="A5" s="4">
        <v>45496</v>
      </c>
      <c r="B5" s="31" t="s">
        <v>21</v>
      </c>
      <c r="C5" s="31"/>
      <c r="D5" s="31"/>
      <c r="E5" s="5">
        <v>100</v>
      </c>
      <c r="F5" s="31"/>
      <c r="G5" s="31"/>
      <c r="H5" s="31"/>
      <c r="I5" s="6"/>
    </row>
    <row r="6" spans="1:9" x14ac:dyDescent="0.35">
      <c r="A6" s="4"/>
      <c r="B6" s="31"/>
      <c r="C6" s="31"/>
      <c r="D6" s="31"/>
      <c r="E6" s="5"/>
      <c r="F6" s="31" t="s">
        <v>50</v>
      </c>
      <c r="G6" s="31"/>
      <c r="H6" s="31"/>
      <c r="I6" s="6">
        <v>400</v>
      </c>
    </row>
    <row r="7" spans="1:9" ht="15.5" x14ac:dyDescent="0.45">
      <c r="A7" s="4">
        <v>45496</v>
      </c>
      <c r="B7" s="31" t="s">
        <v>24</v>
      </c>
      <c r="C7" s="31"/>
      <c r="D7" s="31"/>
      <c r="E7" s="5">
        <v>180</v>
      </c>
      <c r="F7" s="31"/>
      <c r="G7" s="31"/>
      <c r="H7" s="31"/>
      <c r="I7" s="11"/>
    </row>
    <row r="8" spans="1:9" x14ac:dyDescent="0.35">
      <c r="A8" s="3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3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57"/>
  <sheetViews>
    <sheetView topLeftCell="A24" workbookViewId="0">
      <selection activeCell="A27" sqref="A27:I43"/>
    </sheetView>
  </sheetViews>
  <sheetFormatPr defaultRowHeight="14.5" x14ac:dyDescent="0.35"/>
  <cols>
    <col min="5" max="5" width="9.81640625" customWidth="1"/>
    <col min="9" max="9" width="9.6328125" customWidth="1"/>
    <col min="12" max="12" width="10.08984375" bestFit="1" customWidth="1"/>
  </cols>
  <sheetData>
    <row r="1" spans="1:9" ht="20" thickBot="1" x14ac:dyDescent="0.5">
      <c r="A1" s="32" t="s">
        <v>12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45324</v>
      </c>
      <c r="B3" s="33"/>
      <c r="C3" s="34"/>
      <c r="D3" s="35"/>
      <c r="E3" s="5"/>
      <c r="F3" s="33" t="s">
        <v>13</v>
      </c>
      <c r="G3" s="34"/>
      <c r="H3" s="35"/>
      <c r="I3" s="6">
        <v>6060</v>
      </c>
    </row>
    <row r="4" spans="1:9" x14ac:dyDescent="0.35">
      <c r="A4" s="4">
        <v>45385</v>
      </c>
      <c r="B4" s="31" t="s">
        <v>3</v>
      </c>
      <c r="C4" s="31"/>
      <c r="D4" s="31"/>
      <c r="E4" s="5">
        <v>3000</v>
      </c>
      <c r="F4" s="31"/>
      <c r="G4" s="31"/>
      <c r="H4" s="31"/>
      <c r="I4" s="6"/>
    </row>
    <row r="5" spans="1:9" x14ac:dyDescent="0.35">
      <c r="A5" s="4"/>
      <c r="B5" s="31" t="s">
        <v>29</v>
      </c>
      <c r="C5" s="31"/>
      <c r="D5" s="31"/>
      <c r="E5" s="5">
        <v>3060</v>
      </c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12">
        <v>6060</v>
      </c>
      <c r="F6" s="31"/>
      <c r="G6" s="31"/>
      <c r="H6" s="31"/>
      <c r="I6" s="10">
        <v>6060</v>
      </c>
    </row>
    <row r="7" spans="1:9" x14ac:dyDescent="0.35">
      <c r="A7" s="4"/>
      <c r="B7" s="31"/>
      <c r="C7" s="31"/>
      <c r="D7" s="31"/>
      <c r="E7" s="5"/>
      <c r="F7" s="31"/>
      <c r="G7" s="31"/>
      <c r="H7" s="31"/>
      <c r="I7" s="6"/>
    </row>
    <row r="8" spans="1:9" x14ac:dyDescent="0.35">
      <c r="A8" s="3"/>
      <c r="B8" s="31"/>
      <c r="C8" s="31"/>
      <c r="D8" s="31"/>
      <c r="E8" s="5"/>
      <c r="F8" s="31" t="s">
        <v>4</v>
      </c>
      <c r="G8" s="31"/>
      <c r="H8" s="31"/>
      <c r="I8" s="6">
        <v>3060</v>
      </c>
    </row>
    <row r="9" spans="1:9" x14ac:dyDescent="0.35">
      <c r="A9" s="4">
        <v>45426</v>
      </c>
      <c r="B9" s="31" t="s">
        <v>26</v>
      </c>
      <c r="C9" s="31"/>
      <c r="D9" s="31"/>
      <c r="E9" s="5">
        <v>3060</v>
      </c>
      <c r="F9" s="31"/>
      <c r="G9" s="31"/>
      <c r="H9" s="31"/>
      <c r="I9" s="6"/>
    </row>
    <row r="10" spans="1:9" x14ac:dyDescent="0.35">
      <c r="A10" s="3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>
        <v>45694</v>
      </c>
      <c r="B11" s="31"/>
      <c r="C11" s="31"/>
      <c r="D11" s="31"/>
      <c r="E11" s="5"/>
      <c r="F11" s="31" t="s">
        <v>142</v>
      </c>
      <c r="G11" s="31"/>
      <c r="H11" s="31"/>
      <c r="I11" s="6">
        <v>4320</v>
      </c>
    </row>
    <row r="12" spans="1:9" x14ac:dyDescent="0.35">
      <c r="A12" s="4">
        <v>45705</v>
      </c>
      <c r="B12" s="31"/>
      <c r="C12" s="31"/>
      <c r="D12" s="31"/>
      <c r="E12" s="5"/>
      <c r="F12" s="31" t="s">
        <v>143</v>
      </c>
      <c r="G12" s="31"/>
      <c r="H12" s="31"/>
      <c r="I12" s="6">
        <v>520</v>
      </c>
    </row>
    <row r="13" spans="1:9" x14ac:dyDescent="0.35">
      <c r="A13" s="4">
        <v>45706</v>
      </c>
      <c r="B13" s="31" t="s">
        <v>24</v>
      </c>
      <c r="C13" s="31"/>
      <c r="D13" s="31"/>
      <c r="E13" s="5">
        <v>3675</v>
      </c>
      <c r="F13" s="31"/>
      <c r="G13" s="31"/>
      <c r="H13" s="31"/>
      <c r="I13" s="6"/>
    </row>
    <row r="14" spans="1:9" x14ac:dyDescent="0.35">
      <c r="A14" s="4">
        <v>45726</v>
      </c>
      <c r="B14" s="31" t="s">
        <v>29</v>
      </c>
      <c r="C14" s="31"/>
      <c r="D14" s="31"/>
      <c r="E14" s="5">
        <f>E15-E13</f>
        <v>1165</v>
      </c>
      <c r="F14" s="31"/>
      <c r="G14" s="31"/>
      <c r="H14" s="31"/>
      <c r="I14" s="6"/>
    </row>
    <row r="15" spans="1:9" ht="15.5" x14ac:dyDescent="0.45">
      <c r="A15" s="3"/>
      <c r="B15" s="31"/>
      <c r="C15" s="31"/>
      <c r="D15" s="31"/>
      <c r="E15" s="12">
        <v>4840</v>
      </c>
      <c r="F15" s="31"/>
      <c r="G15" s="31"/>
      <c r="H15" s="31"/>
      <c r="I15" s="10">
        <f>SUM(I11:I12)</f>
        <v>4840</v>
      </c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12" x14ac:dyDescent="0.35">
      <c r="A17" s="4">
        <v>45727</v>
      </c>
      <c r="B17" s="31"/>
      <c r="C17" s="31"/>
      <c r="D17" s="31"/>
      <c r="E17" s="5"/>
      <c r="F17" s="42" t="s">
        <v>126</v>
      </c>
      <c r="G17" s="42"/>
      <c r="H17" s="42"/>
      <c r="I17" s="15">
        <v>1165</v>
      </c>
    </row>
    <row r="18" spans="1:12" x14ac:dyDescent="0.35">
      <c r="A18" s="4">
        <v>45734</v>
      </c>
      <c r="B18" s="31" t="s">
        <v>21</v>
      </c>
      <c r="C18" s="31"/>
      <c r="D18" s="31"/>
      <c r="E18" s="5">
        <v>1165</v>
      </c>
      <c r="F18" s="31"/>
      <c r="G18" s="31"/>
      <c r="H18" s="31"/>
      <c r="I18" s="6"/>
    </row>
    <row r="19" spans="1:12" x14ac:dyDescent="0.35">
      <c r="A19" s="4">
        <v>45724</v>
      </c>
      <c r="B19" s="31"/>
      <c r="C19" s="31"/>
      <c r="D19" s="31"/>
      <c r="E19" s="5"/>
      <c r="F19" s="31" t="s">
        <v>188</v>
      </c>
      <c r="G19" s="31"/>
      <c r="H19" s="31"/>
      <c r="I19" s="6">
        <v>20</v>
      </c>
    </row>
    <row r="20" spans="1:12" x14ac:dyDescent="0.35">
      <c r="A20" s="4">
        <v>45769</v>
      </c>
      <c r="B20" s="31"/>
      <c r="C20" s="31"/>
      <c r="D20" s="31"/>
      <c r="E20" s="5"/>
      <c r="F20" s="31" t="s">
        <v>201</v>
      </c>
      <c r="G20" s="31"/>
      <c r="H20" s="31"/>
      <c r="I20" s="6">
        <v>650</v>
      </c>
    </row>
    <row r="21" spans="1:12" x14ac:dyDescent="0.35">
      <c r="A21" s="4">
        <v>45770</v>
      </c>
      <c r="B21" s="31" t="s">
        <v>202</v>
      </c>
      <c r="C21" s="31"/>
      <c r="D21" s="31"/>
      <c r="E21" s="5">
        <v>650</v>
      </c>
      <c r="F21" s="31"/>
      <c r="G21" s="31"/>
      <c r="H21" s="31"/>
      <c r="I21" s="6"/>
    </row>
    <row r="22" spans="1:12" x14ac:dyDescent="0.35">
      <c r="A22" s="4">
        <v>45770</v>
      </c>
      <c r="B22" s="31"/>
      <c r="C22" s="31"/>
      <c r="D22" s="31"/>
      <c r="E22" s="5"/>
      <c r="F22" s="31" t="s">
        <v>203</v>
      </c>
      <c r="G22" s="31"/>
      <c r="H22" s="31"/>
      <c r="I22" s="6">
        <v>3430</v>
      </c>
    </row>
    <row r="23" spans="1:12" x14ac:dyDescent="0.35">
      <c r="A23" s="4">
        <v>45770</v>
      </c>
      <c r="B23" s="31"/>
      <c r="C23" s="31"/>
      <c r="D23" s="31"/>
      <c r="E23" s="5"/>
      <c r="F23" s="31" t="s">
        <v>204</v>
      </c>
      <c r="G23" s="31"/>
      <c r="H23" s="31"/>
      <c r="I23" s="6">
        <v>585</v>
      </c>
      <c r="L23" s="19">
        <f>E21+E24</f>
        <v>3650</v>
      </c>
    </row>
    <row r="24" spans="1:12" x14ac:dyDescent="0.35">
      <c r="A24" s="4">
        <v>45776</v>
      </c>
      <c r="B24" s="31" t="s">
        <v>26</v>
      </c>
      <c r="C24" s="31"/>
      <c r="D24" s="31"/>
      <c r="E24" s="5">
        <v>3000</v>
      </c>
      <c r="F24" s="31"/>
      <c r="G24" s="31"/>
      <c r="H24" s="31"/>
      <c r="I24" s="6"/>
    </row>
    <row r="25" spans="1:12" x14ac:dyDescent="0.35">
      <c r="A25" s="4">
        <v>45788</v>
      </c>
      <c r="B25" s="31" t="s">
        <v>29</v>
      </c>
      <c r="C25" s="31"/>
      <c r="D25" s="31"/>
      <c r="E25" s="5">
        <f>E26-L23</f>
        <v>1035</v>
      </c>
      <c r="F25" s="31"/>
      <c r="G25" s="31"/>
      <c r="H25" s="31"/>
      <c r="I25" s="6"/>
    </row>
    <row r="26" spans="1:12" ht="15.5" x14ac:dyDescent="0.45">
      <c r="A26" s="3"/>
      <c r="B26" s="31"/>
      <c r="C26" s="31"/>
      <c r="D26" s="31"/>
      <c r="E26" s="12">
        <v>4685</v>
      </c>
      <c r="F26" s="31"/>
      <c r="G26" s="31"/>
      <c r="H26" s="31"/>
      <c r="I26" s="11">
        <f>SUM(I19:I23)</f>
        <v>4685</v>
      </c>
    </row>
    <row r="27" spans="1:12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12" x14ac:dyDescent="0.35">
      <c r="A28" s="4">
        <v>45789</v>
      </c>
      <c r="B28" s="31"/>
      <c r="C28" s="31"/>
      <c r="D28" s="31"/>
      <c r="E28" s="5"/>
      <c r="F28" s="31" t="s">
        <v>4</v>
      </c>
      <c r="G28" s="31"/>
      <c r="H28" s="31"/>
      <c r="I28" s="6">
        <v>1035</v>
      </c>
    </row>
    <row r="29" spans="1:12" x14ac:dyDescent="0.35">
      <c r="A29" s="4">
        <v>45832</v>
      </c>
      <c r="B29" s="31" t="s">
        <v>235</v>
      </c>
      <c r="C29" s="31"/>
      <c r="D29" s="31"/>
      <c r="E29" s="5">
        <v>1080</v>
      </c>
      <c r="F29" s="31"/>
      <c r="G29" s="31"/>
      <c r="H29" s="31"/>
      <c r="I29" s="6"/>
    </row>
    <row r="30" spans="1:12" x14ac:dyDescent="0.35">
      <c r="A30" s="3"/>
      <c r="B30" s="31"/>
      <c r="C30" s="31"/>
      <c r="D30" s="31"/>
      <c r="E30" s="5"/>
      <c r="F30" s="31" t="s">
        <v>236</v>
      </c>
      <c r="G30" s="31"/>
      <c r="H30" s="31"/>
      <c r="I30" s="6">
        <v>45</v>
      </c>
    </row>
    <row r="31" spans="1:12" ht="15.5" x14ac:dyDescent="0.45">
      <c r="A31" s="3"/>
      <c r="B31" s="31"/>
      <c r="C31" s="31"/>
      <c r="D31" s="31"/>
      <c r="E31" s="12">
        <f>I31</f>
        <v>1035</v>
      </c>
      <c r="F31" s="31"/>
      <c r="G31" s="31"/>
      <c r="H31" s="31"/>
      <c r="I31" s="11">
        <v>1035</v>
      </c>
    </row>
    <row r="32" spans="1:12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11" x14ac:dyDescent="0.35">
      <c r="A33" s="4">
        <v>45832</v>
      </c>
      <c r="B33" s="42" t="s">
        <v>236</v>
      </c>
      <c r="C33" s="42"/>
      <c r="D33" s="42"/>
      <c r="E33" s="20">
        <v>45</v>
      </c>
      <c r="F33" s="31"/>
      <c r="G33" s="31"/>
      <c r="H33" s="31"/>
      <c r="I33" s="6" t="s">
        <v>19</v>
      </c>
    </row>
    <row r="34" spans="1:11" x14ac:dyDescent="0.35">
      <c r="A34" s="4">
        <v>45881</v>
      </c>
      <c r="B34" s="31"/>
      <c r="C34" s="31"/>
      <c r="D34" s="31"/>
      <c r="E34" s="5"/>
      <c r="F34" s="31" t="s">
        <v>237</v>
      </c>
      <c r="G34" s="31"/>
      <c r="H34" s="31"/>
      <c r="I34" s="6">
        <v>1030</v>
      </c>
    </row>
    <row r="35" spans="1:11" x14ac:dyDescent="0.35">
      <c r="A35" s="4">
        <v>45881</v>
      </c>
      <c r="B35" s="31" t="s">
        <v>24</v>
      </c>
      <c r="C35" s="31"/>
      <c r="D35" s="31"/>
      <c r="E35" s="5">
        <v>880</v>
      </c>
      <c r="F35" s="31"/>
      <c r="G35" s="31"/>
      <c r="H35" s="31"/>
      <c r="I35" s="6"/>
    </row>
    <row r="36" spans="1:11" x14ac:dyDescent="0.35">
      <c r="A36" s="4">
        <v>45884</v>
      </c>
      <c r="B36" s="31" t="s">
        <v>29</v>
      </c>
      <c r="C36" s="31"/>
      <c r="D36" s="31"/>
      <c r="E36" s="5">
        <f>E37-K36</f>
        <v>105</v>
      </c>
      <c r="F36" s="31"/>
      <c r="G36" s="31"/>
      <c r="H36" s="31"/>
      <c r="I36" s="6"/>
      <c r="K36" s="19">
        <f>E33+E35</f>
        <v>925</v>
      </c>
    </row>
    <row r="37" spans="1:11" ht="15.5" x14ac:dyDescent="0.45">
      <c r="A37" s="3"/>
      <c r="B37" s="31"/>
      <c r="C37" s="31"/>
      <c r="D37" s="31"/>
      <c r="E37" s="12">
        <f>I37</f>
        <v>1030</v>
      </c>
      <c r="F37" s="31"/>
      <c r="G37" s="31"/>
      <c r="H37" s="31"/>
      <c r="I37" s="11">
        <f>I34</f>
        <v>1030</v>
      </c>
    </row>
    <row r="38" spans="1:11" x14ac:dyDescent="0.35">
      <c r="A38" s="3"/>
      <c r="B38" s="31"/>
      <c r="C38" s="31"/>
      <c r="D38" s="31"/>
      <c r="E38" s="5"/>
      <c r="F38" s="31"/>
      <c r="G38" s="31"/>
      <c r="H38" s="31"/>
      <c r="I38" s="6"/>
    </row>
    <row r="39" spans="1:11" x14ac:dyDescent="0.35">
      <c r="A39" s="4">
        <v>45884</v>
      </c>
      <c r="B39" s="31"/>
      <c r="C39" s="31"/>
      <c r="D39" s="31"/>
      <c r="E39" s="5"/>
      <c r="F39" s="31" t="s">
        <v>4</v>
      </c>
      <c r="G39" s="31"/>
      <c r="H39" s="31"/>
      <c r="I39" s="6">
        <v>105</v>
      </c>
    </row>
    <row r="40" spans="1:11" x14ac:dyDescent="0.35">
      <c r="A40" s="3"/>
      <c r="B40" s="31"/>
      <c r="C40" s="31"/>
      <c r="D40" s="31"/>
      <c r="E40" s="5"/>
      <c r="F40" s="31"/>
      <c r="G40" s="31"/>
      <c r="H40" s="31"/>
      <c r="I40" s="6"/>
    </row>
    <row r="41" spans="1:11" x14ac:dyDescent="0.35">
      <c r="A41" s="3"/>
      <c r="B41" s="31"/>
      <c r="C41" s="31"/>
      <c r="D41" s="31"/>
      <c r="E41" s="5"/>
      <c r="F41" s="31"/>
      <c r="G41" s="31"/>
      <c r="H41" s="31"/>
      <c r="I41" s="6"/>
    </row>
    <row r="42" spans="1:11" x14ac:dyDescent="0.35">
      <c r="A42" s="3"/>
      <c r="B42" s="31"/>
      <c r="C42" s="31"/>
      <c r="D42" s="31"/>
      <c r="E42" s="5"/>
      <c r="F42" s="31"/>
      <c r="G42" s="31"/>
      <c r="H42" s="31"/>
      <c r="I42" s="6"/>
    </row>
    <row r="43" spans="1:11" x14ac:dyDescent="0.35">
      <c r="A43" s="3"/>
      <c r="B43" s="31"/>
      <c r="C43" s="31"/>
      <c r="D43" s="31"/>
      <c r="E43" s="5"/>
      <c r="F43" s="31"/>
      <c r="G43" s="31"/>
      <c r="H43" s="31"/>
      <c r="I43" s="6"/>
    </row>
    <row r="44" spans="1:11" x14ac:dyDescent="0.35">
      <c r="A44" s="3"/>
      <c r="B44" s="31"/>
      <c r="C44" s="31"/>
      <c r="D44" s="31"/>
      <c r="E44" s="5"/>
      <c r="F44" s="31"/>
      <c r="G44" s="31"/>
      <c r="H44" s="31"/>
      <c r="I44" s="6"/>
    </row>
    <row r="45" spans="1:11" x14ac:dyDescent="0.35">
      <c r="A45" s="3"/>
      <c r="B45" s="31"/>
      <c r="C45" s="31"/>
      <c r="D45" s="31"/>
      <c r="E45" s="5"/>
      <c r="F45" s="31"/>
      <c r="G45" s="31"/>
      <c r="H45" s="31"/>
      <c r="I45" s="6"/>
    </row>
    <row r="46" spans="1:11" x14ac:dyDescent="0.35">
      <c r="A46" s="3"/>
      <c r="B46" s="31"/>
      <c r="C46" s="31"/>
      <c r="D46" s="31"/>
      <c r="E46" s="5"/>
      <c r="F46" s="31"/>
      <c r="G46" s="31"/>
      <c r="H46" s="31"/>
      <c r="I46" s="6"/>
    </row>
    <row r="47" spans="1:11" x14ac:dyDescent="0.35">
      <c r="A47" s="3"/>
      <c r="B47" s="31"/>
      <c r="C47" s="31"/>
      <c r="D47" s="31"/>
      <c r="E47" s="5"/>
      <c r="F47" s="31"/>
      <c r="G47" s="31"/>
      <c r="H47" s="31"/>
      <c r="I47" s="6"/>
    </row>
    <row r="48" spans="1:11" x14ac:dyDescent="0.35">
      <c r="A48" s="3"/>
      <c r="B48" s="31"/>
      <c r="C48" s="31"/>
      <c r="D48" s="31"/>
      <c r="E48" s="5"/>
      <c r="F48" s="31"/>
      <c r="G48" s="31"/>
      <c r="H48" s="31"/>
      <c r="I48" s="6"/>
    </row>
    <row r="49" spans="1:9" x14ac:dyDescent="0.35">
      <c r="A49" s="3"/>
      <c r="B49" s="31"/>
      <c r="C49" s="31"/>
      <c r="D49" s="31"/>
      <c r="E49" s="5"/>
      <c r="F49" s="31"/>
      <c r="G49" s="31"/>
      <c r="H49" s="31"/>
      <c r="I49" s="6"/>
    </row>
    <row r="50" spans="1:9" x14ac:dyDescent="0.35">
      <c r="A50" s="3"/>
      <c r="B50" s="31"/>
      <c r="C50" s="31"/>
      <c r="D50" s="31"/>
      <c r="E50" s="5"/>
      <c r="F50" s="31"/>
      <c r="G50" s="31"/>
      <c r="H50" s="31"/>
      <c r="I50" s="6"/>
    </row>
    <row r="51" spans="1:9" x14ac:dyDescent="0.35">
      <c r="A51" s="3"/>
      <c r="B51" s="31"/>
      <c r="C51" s="31"/>
      <c r="D51" s="31"/>
      <c r="E51" s="5"/>
      <c r="F51" s="31"/>
      <c r="G51" s="31"/>
      <c r="H51" s="31"/>
      <c r="I51" s="6"/>
    </row>
    <row r="52" spans="1:9" x14ac:dyDescent="0.35">
      <c r="A52" s="3"/>
      <c r="B52" s="31"/>
      <c r="C52" s="31"/>
      <c r="D52" s="31"/>
      <c r="E52" s="5"/>
      <c r="F52" s="31"/>
      <c r="G52" s="31"/>
      <c r="H52" s="31"/>
      <c r="I52" s="6"/>
    </row>
    <row r="53" spans="1:9" x14ac:dyDescent="0.35">
      <c r="A53" s="3"/>
      <c r="B53" s="31"/>
      <c r="C53" s="31"/>
      <c r="D53" s="31"/>
      <c r="E53" s="5"/>
      <c r="F53" s="31"/>
      <c r="G53" s="31"/>
      <c r="H53" s="31"/>
      <c r="I53" s="6"/>
    </row>
    <row r="54" spans="1:9" x14ac:dyDescent="0.35">
      <c r="A54" s="3"/>
      <c r="B54" s="31"/>
      <c r="C54" s="31"/>
      <c r="D54" s="31"/>
      <c r="E54" s="5"/>
      <c r="F54" s="31"/>
      <c r="G54" s="31"/>
      <c r="H54" s="31"/>
      <c r="I54" s="6"/>
    </row>
    <row r="55" spans="1:9" x14ac:dyDescent="0.35">
      <c r="A55" s="3"/>
      <c r="B55" s="31"/>
      <c r="C55" s="31"/>
      <c r="D55" s="31"/>
      <c r="E55" s="5"/>
      <c r="F55" s="31"/>
      <c r="G55" s="31"/>
      <c r="H55" s="31"/>
      <c r="I55" s="6"/>
    </row>
    <row r="56" spans="1:9" x14ac:dyDescent="0.35">
      <c r="A56" s="3"/>
      <c r="B56" s="31"/>
      <c r="C56" s="31"/>
      <c r="D56" s="31"/>
      <c r="E56" s="5"/>
      <c r="F56" s="31"/>
      <c r="G56" s="31"/>
      <c r="H56" s="31"/>
      <c r="I56" s="6"/>
    </row>
    <row r="57" spans="1:9" x14ac:dyDescent="0.35">
      <c r="A57" s="3"/>
      <c r="B57" s="31"/>
      <c r="C57" s="31"/>
      <c r="D57" s="31"/>
      <c r="E57" s="5"/>
      <c r="F57" s="31"/>
      <c r="G57" s="31"/>
      <c r="H57" s="31"/>
      <c r="I57" s="6"/>
    </row>
  </sheetData>
  <mergeCells count="113"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37:D37"/>
    <mergeCell ref="F37:H37"/>
    <mergeCell ref="B38:D38"/>
    <mergeCell ref="F38:H38"/>
    <mergeCell ref="B39:D39"/>
    <mergeCell ref="F39:H39"/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B43:D43"/>
    <mergeCell ref="F43:H43"/>
    <mergeCell ref="B44:D44"/>
    <mergeCell ref="F44:H44"/>
    <mergeCell ref="B45:D45"/>
    <mergeCell ref="F45:H45"/>
    <mergeCell ref="B40:D40"/>
    <mergeCell ref="F40:H40"/>
    <mergeCell ref="B41:D41"/>
    <mergeCell ref="F41:H41"/>
    <mergeCell ref="B42:D42"/>
    <mergeCell ref="F42:H42"/>
    <mergeCell ref="B49:D49"/>
    <mergeCell ref="F49:H49"/>
    <mergeCell ref="B50:D50"/>
    <mergeCell ref="F50:H50"/>
    <mergeCell ref="B51:D51"/>
    <mergeCell ref="F51:H51"/>
    <mergeCell ref="B46:D46"/>
    <mergeCell ref="F46:H46"/>
    <mergeCell ref="B47:D47"/>
    <mergeCell ref="F47:H47"/>
    <mergeCell ref="B48:D48"/>
    <mergeCell ref="F48:H48"/>
    <mergeCell ref="B55:D55"/>
    <mergeCell ref="F55:H55"/>
    <mergeCell ref="B56:D56"/>
    <mergeCell ref="F56:H56"/>
    <mergeCell ref="B57:D57"/>
    <mergeCell ref="F57:H57"/>
    <mergeCell ref="B52:D52"/>
    <mergeCell ref="F52:H52"/>
    <mergeCell ref="B53:D53"/>
    <mergeCell ref="F53:H53"/>
    <mergeCell ref="B54:D54"/>
    <mergeCell ref="F54:H5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O76"/>
  <sheetViews>
    <sheetView topLeftCell="A46" workbookViewId="0">
      <selection activeCell="F22" sqref="F22:H22"/>
    </sheetView>
  </sheetViews>
  <sheetFormatPr defaultRowHeight="14.5" x14ac:dyDescent="0.35"/>
  <cols>
    <col min="4" max="4" width="12" customWidth="1"/>
    <col min="5" max="5" width="9.6328125" customWidth="1"/>
    <col min="8" max="8" width="9.6328125" customWidth="1"/>
    <col min="9" max="9" width="9.36328125" customWidth="1"/>
    <col min="14" max="15" width="10.08984375" bestFit="1" customWidth="1"/>
  </cols>
  <sheetData>
    <row r="1" spans="1:9" ht="20" thickBot="1" x14ac:dyDescent="0.5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45481</v>
      </c>
      <c r="B3" s="33"/>
      <c r="C3" s="34"/>
      <c r="D3" s="35"/>
      <c r="E3" s="5"/>
      <c r="F3" s="33" t="s">
        <v>51</v>
      </c>
      <c r="G3" s="34"/>
      <c r="H3" s="35"/>
      <c r="I3" s="6">
        <v>90</v>
      </c>
    </row>
    <row r="4" spans="1:9" x14ac:dyDescent="0.35">
      <c r="A4" s="4"/>
      <c r="B4" s="31" t="s">
        <v>26</v>
      </c>
      <c r="C4" s="31"/>
      <c r="D4" s="31"/>
      <c r="E4" s="5">
        <v>90</v>
      </c>
      <c r="F4" s="31"/>
      <c r="G4" s="31"/>
      <c r="H4" s="31"/>
      <c r="I4" s="6"/>
    </row>
    <row r="5" spans="1:9" x14ac:dyDescent="0.35">
      <c r="A5" s="4"/>
      <c r="B5" s="31"/>
      <c r="C5" s="31"/>
      <c r="D5" s="31"/>
      <c r="E5" s="5"/>
      <c r="F5" s="31"/>
      <c r="G5" s="31"/>
      <c r="H5" s="31"/>
      <c r="I5" s="6"/>
    </row>
    <row r="6" spans="1:9" x14ac:dyDescent="0.35">
      <c r="A6" s="4">
        <v>45534</v>
      </c>
      <c r="B6" s="31"/>
      <c r="C6" s="31"/>
      <c r="D6" s="31"/>
      <c r="E6" s="5"/>
      <c r="F6" s="31" t="s">
        <v>52</v>
      </c>
      <c r="G6" s="31"/>
      <c r="H6" s="31"/>
      <c r="I6" s="6">
        <v>1370</v>
      </c>
    </row>
    <row r="7" spans="1:9" x14ac:dyDescent="0.35">
      <c r="A7" s="4">
        <v>45515</v>
      </c>
      <c r="B7" s="31" t="s">
        <v>52</v>
      </c>
      <c r="C7" s="31"/>
      <c r="D7" s="31"/>
      <c r="E7" s="5">
        <v>1370</v>
      </c>
      <c r="F7" s="31"/>
      <c r="G7" s="31"/>
      <c r="H7" s="31"/>
      <c r="I7" s="6"/>
    </row>
    <row r="8" spans="1:9" ht="15.5" x14ac:dyDescent="0.45">
      <c r="A8" s="3"/>
      <c r="B8" s="31"/>
      <c r="C8" s="31"/>
      <c r="D8" s="31"/>
      <c r="E8" s="12">
        <v>1460</v>
      </c>
      <c r="F8" s="31"/>
      <c r="G8" s="31"/>
      <c r="H8" s="31"/>
      <c r="I8" s="11">
        <f>SUM(I3:I6)</f>
        <v>1460</v>
      </c>
    </row>
    <row r="9" spans="1:9" x14ac:dyDescent="0.35">
      <c r="A9" s="3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14">
        <v>45938</v>
      </c>
      <c r="B10" s="31"/>
      <c r="C10" s="31"/>
      <c r="D10" s="31"/>
      <c r="E10" s="5"/>
      <c r="F10" s="31" t="s">
        <v>81</v>
      </c>
      <c r="G10" s="31"/>
      <c r="H10" s="31"/>
      <c r="I10" s="6">
        <v>200</v>
      </c>
    </row>
    <row r="11" spans="1:9" x14ac:dyDescent="0.35">
      <c r="A11" s="14">
        <v>45940</v>
      </c>
      <c r="B11" s="31"/>
      <c r="C11" s="31"/>
      <c r="D11" s="31"/>
      <c r="E11" s="5"/>
      <c r="F11" s="31" t="s">
        <v>82</v>
      </c>
      <c r="G11" s="31"/>
      <c r="H11" s="31"/>
      <c r="I11" s="6">
        <v>200</v>
      </c>
    </row>
    <row r="12" spans="1:9" x14ac:dyDescent="0.35">
      <c r="A12" s="14">
        <v>45953</v>
      </c>
      <c r="B12" s="31"/>
      <c r="C12" s="31"/>
      <c r="D12" s="31"/>
      <c r="E12" s="5"/>
      <c r="F12" s="31" t="s">
        <v>83</v>
      </c>
      <c r="G12" s="31"/>
      <c r="H12" s="31"/>
      <c r="I12" s="6">
        <v>380</v>
      </c>
    </row>
    <row r="13" spans="1:9" x14ac:dyDescent="0.35">
      <c r="A13" s="14">
        <v>45962</v>
      </c>
      <c r="B13" s="31"/>
      <c r="C13" s="31"/>
      <c r="D13" s="31"/>
      <c r="E13" s="5"/>
      <c r="F13" s="31" t="s">
        <v>84</v>
      </c>
      <c r="G13" s="31"/>
      <c r="H13" s="31"/>
      <c r="I13" s="6">
        <v>790</v>
      </c>
    </row>
    <row r="14" spans="1:9" x14ac:dyDescent="0.35">
      <c r="A14" s="14">
        <v>45974</v>
      </c>
      <c r="B14" s="31"/>
      <c r="C14" s="31"/>
      <c r="D14" s="31"/>
      <c r="E14" s="5"/>
      <c r="F14" s="31" t="s">
        <v>85</v>
      </c>
      <c r="G14" s="31"/>
      <c r="H14" s="31"/>
      <c r="I14" s="6">
        <v>1160</v>
      </c>
    </row>
    <row r="15" spans="1:9" x14ac:dyDescent="0.35">
      <c r="A15" s="14">
        <v>45643</v>
      </c>
      <c r="B15" s="31" t="s">
        <v>81</v>
      </c>
      <c r="C15" s="31"/>
      <c r="D15" s="31"/>
      <c r="E15" s="5">
        <v>200</v>
      </c>
      <c r="F15" s="31"/>
      <c r="G15" s="31"/>
      <c r="H15" s="31"/>
      <c r="I15" s="6"/>
    </row>
    <row r="16" spans="1:9" x14ac:dyDescent="0.35">
      <c r="A16" s="3"/>
      <c r="B16" s="31" t="s">
        <v>82</v>
      </c>
      <c r="C16" s="31"/>
      <c r="D16" s="31"/>
      <c r="E16" s="5">
        <v>200</v>
      </c>
      <c r="F16" s="31"/>
      <c r="G16" s="31"/>
      <c r="H16" s="31"/>
      <c r="I16" s="6"/>
    </row>
    <row r="17" spans="1:15" x14ac:dyDescent="0.35">
      <c r="A17" s="3"/>
      <c r="B17" s="31" t="s">
        <v>83</v>
      </c>
      <c r="C17" s="31"/>
      <c r="D17" s="31"/>
      <c r="E17" s="5">
        <v>380</v>
      </c>
      <c r="F17" s="31"/>
      <c r="G17" s="31"/>
      <c r="H17" s="31"/>
      <c r="I17" s="6"/>
    </row>
    <row r="18" spans="1:15" x14ac:dyDescent="0.35">
      <c r="A18" s="14">
        <v>45646</v>
      </c>
      <c r="B18" s="31"/>
      <c r="C18" s="31"/>
      <c r="D18" s="31"/>
      <c r="E18" s="5"/>
      <c r="F18" s="31" t="s">
        <v>95</v>
      </c>
      <c r="G18" s="31"/>
      <c r="H18" s="31"/>
      <c r="I18" s="6">
        <v>350</v>
      </c>
    </row>
    <row r="19" spans="1:15" x14ac:dyDescent="0.35">
      <c r="A19" s="14">
        <v>45649</v>
      </c>
      <c r="B19" s="31" t="s">
        <v>95</v>
      </c>
      <c r="C19" s="31"/>
      <c r="D19" s="31"/>
      <c r="E19" s="5">
        <v>350</v>
      </c>
      <c r="F19" s="31"/>
      <c r="G19" s="31"/>
      <c r="H19" s="31"/>
      <c r="I19" s="6"/>
    </row>
    <row r="20" spans="1:15" x14ac:dyDescent="0.35">
      <c r="A20" s="14">
        <v>46022</v>
      </c>
      <c r="B20" s="31" t="s">
        <v>29</v>
      </c>
      <c r="C20" s="31"/>
      <c r="D20" s="31"/>
      <c r="E20" s="5">
        <v>1950</v>
      </c>
      <c r="F20" s="31"/>
      <c r="G20" s="31"/>
      <c r="H20" s="31"/>
      <c r="I20" s="6"/>
      <c r="O20" s="9"/>
    </row>
    <row r="21" spans="1:15" ht="15.5" x14ac:dyDescent="0.45">
      <c r="A21" s="3"/>
      <c r="B21" s="31"/>
      <c r="C21" s="31"/>
      <c r="D21" s="31"/>
      <c r="E21" s="16">
        <v>3080</v>
      </c>
      <c r="F21" s="31"/>
      <c r="G21" s="31"/>
      <c r="H21" s="31"/>
      <c r="I21" s="17">
        <f>SUM(I10:I18)</f>
        <v>3080</v>
      </c>
    </row>
    <row r="22" spans="1:15" x14ac:dyDescent="0.35">
      <c r="A22" s="3"/>
      <c r="B22" s="31"/>
      <c r="C22" s="31"/>
      <c r="D22" s="31"/>
      <c r="E22" s="5"/>
      <c r="F22" s="31"/>
      <c r="G22" s="31"/>
      <c r="H22" s="31"/>
      <c r="I22" s="6"/>
      <c r="N22" s="19"/>
    </row>
    <row r="23" spans="1:15" x14ac:dyDescent="0.35">
      <c r="A23" s="4">
        <v>45658</v>
      </c>
      <c r="B23" s="31"/>
      <c r="C23" s="31"/>
      <c r="D23" s="31"/>
      <c r="E23" s="5"/>
      <c r="F23" s="31" t="s">
        <v>4</v>
      </c>
      <c r="G23" s="31"/>
      <c r="H23" s="31"/>
      <c r="I23" s="15">
        <v>1950</v>
      </c>
    </row>
    <row r="24" spans="1:15" x14ac:dyDescent="0.35">
      <c r="A24" s="4">
        <v>45665</v>
      </c>
      <c r="B24" s="31" t="s">
        <v>107</v>
      </c>
      <c r="C24" s="31"/>
      <c r="D24" s="31"/>
      <c r="E24" s="5">
        <v>200</v>
      </c>
      <c r="F24" s="31" t="s">
        <v>105</v>
      </c>
      <c r="G24" s="31"/>
      <c r="H24" s="31"/>
      <c r="I24" s="6">
        <v>200</v>
      </c>
    </row>
    <row r="25" spans="1:15" x14ac:dyDescent="0.35">
      <c r="A25" s="4">
        <v>45666</v>
      </c>
      <c r="B25" s="33"/>
      <c r="C25" s="34"/>
      <c r="D25" s="35"/>
      <c r="E25" s="5"/>
      <c r="F25" s="31" t="s">
        <v>106</v>
      </c>
      <c r="G25" s="31"/>
      <c r="H25" s="31"/>
      <c r="I25" s="6">
        <v>200</v>
      </c>
    </row>
    <row r="26" spans="1:15" x14ac:dyDescent="0.35">
      <c r="A26" s="4">
        <v>45667</v>
      </c>
      <c r="B26" s="33" t="s">
        <v>106</v>
      </c>
      <c r="C26" s="34"/>
      <c r="D26" s="35"/>
      <c r="E26" s="5">
        <v>200</v>
      </c>
      <c r="F26" s="31"/>
      <c r="G26" s="31"/>
      <c r="H26" s="31"/>
      <c r="I26" s="6"/>
      <c r="O26" s="9"/>
    </row>
    <row r="27" spans="1:15" x14ac:dyDescent="0.35">
      <c r="A27" s="4">
        <v>45673</v>
      </c>
      <c r="B27" s="31" t="s">
        <v>84</v>
      </c>
      <c r="C27" s="31"/>
      <c r="D27" s="31"/>
      <c r="E27" s="5">
        <v>790</v>
      </c>
      <c r="F27" s="31"/>
      <c r="G27" s="31"/>
      <c r="H27" s="31"/>
      <c r="I27" s="6"/>
      <c r="O27" s="9"/>
    </row>
    <row r="28" spans="1:15" x14ac:dyDescent="0.35">
      <c r="A28" s="3"/>
      <c r="B28" s="31" t="s">
        <v>104</v>
      </c>
      <c r="C28" s="31"/>
      <c r="D28" s="31"/>
      <c r="E28" s="5">
        <v>810</v>
      </c>
      <c r="F28" s="31"/>
      <c r="G28" s="31"/>
      <c r="H28" s="31"/>
      <c r="I28" s="6"/>
    </row>
    <row r="29" spans="1:15" x14ac:dyDescent="0.35">
      <c r="A29" s="4">
        <v>45674</v>
      </c>
      <c r="B29" s="42"/>
      <c r="C29" s="42"/>
      <c r="D29" s="42"/>
      <c r="E29" s="20"/>
      <c r="F29" s="31" t="s">
        <v>108</v>
      </c>
      <c r="G29" s="31"/>
      <c r="H29" s="31"/>
      <c r="I29" s="6">
        <v>600</v>
      </c>
    </row>
    <row r="30" spans="1:15" x14ac:dyDescent="0.35">
      <c r="A30" s="4">
        <v>45674</v>
      </c>
      <c r="B30" s="31" t="s">
        <v>108</v>
      </c>
      <c r="C30" s="31"/>
      <c r="D30" s="31"/>
      <c r="E30" s="5">
        <v>600</v>
      </c>
      <c r="F30" s="33"/>
      <c r="G30" s="34"/>
      <c r="H30" s="35"/>
      <c r="I30" s="6"/>
    </row>
    <row r="31" spans="1:15" x14ac:dyDescent="0.35">
      <c r="A31" s="4">
        <v>45680</v>
      </c>
      <c r="B31" s="31"/>
      <c r="C31" s="31"/>
      <c r="D31" s="31"/>
      <c r="E31" s="5"/>
      <c r="F31" s="31" t="s">
        <v>109</v>
      </c>
      <c r="G31" s="31"/>
      <c r="H31" s="31"/>
      <c r="I31" s="6">
        <v>2900</v>
      </c>
      <c r="N31" s="9"/>
    </row>
    <row r="32" spans="1:15" x14ac:dyDescent="0.35">
      <c r="A32" s="4">
        <v>45684</v>
      </c>
      <c r="B32" s="31" t="s">
        <v>109</v>
      </c>
      <c r="C32" s="31"/>
      <c r="D32" s="31"/>
      <c r="E32" s="5">
        <v>2900</v>
      </c>
      <c r="F32" s="31"/>
      <c r="G32" s="31"/>
      <c r="H32" s="31"/>
      <c r="I32" s="6"/>
    </row>
    <row r="33" spans="1:15" x14ac:dyDescent="0.35">
      <c r="A33" s="4">
        <v>45684</v>
      </c>
      <c r="B33" s="31"/>
      <c r="C33" s="31"/>
      <c r="D33" s="31"/>
      <c r="E33" s="5"/>
      <c r="F33" s="31" t="s">
        <v>110</v>
      </c>
      <c r="G33" s="31"/>
      <c r="H33" s="31"/>
      <c r="I33" s="6">
        <v>330</v>
      </c>
    </row>
    <row r="34" spans="1:15" x14ac:dyDescent="0.35">
      <c r="A34" s="4">
        <v>45686</v>
      </c>
      <c r="B34" s="31"/>
      <c r="C34" s="31"/>
      <c r="D34" s="31"/>
      <c r="E34" s="5"/>
      <c r="F34" s="31" t="s">
        <v>124</v>
      </c>
      <c r="G34" s="31"/>
      <c r="H34" s="31"/>
      <c r="I34" s="6">
        <v>130</v>
      </c>
      <c r="O34" s="9"/>
    </row>
    <row r="35" spans="1:15" ht="15.5" x14ac:dyDescent="0.45">
      <c r="A35" s="4">
        <v>45688</v>
      </c>
      <c r="B35" s="31" t="s">
        <v>29</v>
      </c>
      <c r="C35" s="31"/>
      <c r="D35" s="31"/>
      <c r="E35" s="5">
        <v>810</v>
      </c>
      <c r="F35" s="31"/>
      <c r="G35" s="31"/>
      <c r="H35" s="31"/>
      <c r="I35" s="11"/>
    </row>
    <row r="36" spans="1:15" ht="15.5" x14ac:dyDescent="0.45">
      <c r="A36" s="3"/>
      <c r="B36" s="31"/>
      <c r="C36" s="31"/>
      <c r="D36" s="31"/>
      <c r="E36" s="16">
        <v>6310</v>
      </c>
      <c r="F36" s="31"/>
      <c r="G36" s="31"/>
      <c r="H36" s="31"/>
      <c r="I36" s="17">
        <f>SUM(I23:I34)</f>
        <v>6310</v>
      </c>
    </row>
    <row r="37" spans="1:15" x14ac:dyDescent="0.35">
      <c r="A37" s="3"/>
      <c r="B37" s="31"/>
      <c r="C37" s="31"/>
      <c r="D37" s="31"/>
      <c r="E37" s="5"/>
      <c r="F37" s="31"/>
      <c r="G37" s="31"/>
      <c r="H37" s="31"/>
      <c r="I37" s="6"/>
      <c r="O37" s="19"/>
    </row>
    <row r="38" spans="1:15" x14ac:dyDescent="0.35">
      <c r="A38" s="4">
        <v>45689</v>
      </c>
      <c r="B38" s="31"/>
      <c r="C38" s="31"/>
      <c r="D38" s="31"/>
      <c r="E38" s="5"/>
      <c r="F38" s="42" t="s">
        <v>4</v>
      </c>
      <c r="G38" s="42"/>
      <c r="H38" s="42"/>
      <c r="I38" s="15">
        <v>810</v>
      </c>
    </row>
    <row r="39" spans="1:15" x14ac:dyDescent="0.35">
      <c r="A39" s="4">
        <v>45691</v>
      </c>
      <c r="B39" s="31"/>
      <c r="C39" s="31"/>
      <c r="D39" s="31"/>
      <c r="E39" s="5"/>
      <c r="F39" s="33" t="s">
        <v>158</v>
      </c>
      <c r="G39" s="34"/>
      <c r="H39" s="35"/>
      <c r="I39" s="6">
        <v>640</v>
      </c>
    </row>
    <row r="40" spans="1:15" x14ac:dyDescent="0.35">
      <c r="A40" s="4">
        <v>45695</v>
      </c>
      <c r="B40" s="31"/>
      <c r="C40" s="31"/>
      <c r="D40" s="31"/>
      <c r="E40" s="5"/>
      <c r="F40" s="31" t="s">
        <v>129</v>
      </c>
      <c r="G40" s="31"/>
      <c r="H40" s="31"/>
      <c r="I40" s="6">
        <v>3250</v>
      </c>
    </row>
    <row r="41" spans="1:15" x14ac:dyDescent="0.35">
      <c r="A41" s="4">
        <v>45695</v>
      </c>
      <c r="B41" s="31"/>
      <c r="C41" s="31"/>
      <c r="D41" s="31"/>
      <c r="E41" s="5"/>
      <c r="F41" s="31" t="s">
        <v>130</v>
      </c>
      <c r="G41" s="31"/>
      <c r="H41" s="31"/>
      <c r="I41" s="6">
        <v>500</v>
      </c>
    </row>
    <row r="42" spans="1:15" x14ac:dyDescent="0.35">
      <c r="A42" s="4">
        <v>45703</v>
      </c>
      <c r="B42" s="31" t="s">
        <v>157</v>
      </c>
      <c r="C42" s="31"/>
      <c r="D42" s="31"/>
      <c r="E42" s="5">
        <v>3750</v>
      </c>
      <c r="F42" s="31"/>
      <c r="G42" s="31"/>
      <c r="H42" s="31"/>
      <c r="I42" s="6"/>
    </row>
    <row r="43" spans="1:15" x14ac:dyDescent="0.35">
      <c r="A43" s="4">
        <v>45706</v>
      </c>
      <c r="B43" s="31"/>
      <c r="C43" s="31"/>
      <c r="D43" s="31"/>
      <c r="E43" s="5"/>
      <c r="F43" s="31" t="s">
        <v>159</v>
      </c>
      <c r="G43" s="31"/>
      <c r="H43" s="31"/>
      <c r="I43" s="6">
        <v>180</v>
      </c>
    </row>
    <row r="44" spans="1:15" x14ac:dyDescent="0.35">
      <c r="A44" s="4">
        <v>45707</v>
      </c>
      <c r="B44" s="31"/>
      <c r="C44" s="31"/>
      <c r="D44" s="31"/>
      <c r="E44" s="5"/>
      <c r="F44" s="31" t="s">
        <v>160</v>
      </c>
      <c r="G44" s="31"/>
      <c r="H44" s="31"/>
      <c r="I44" s="6">
        <v>170</v>
      </c>
    </row>
    <row r="45" spans="1:15" x14ac:dyDescent="0.35">
      <c r="A45" s="4"/>
      <c r="B45" s="31"/>
      <c r="C45" s="31"/>
      <c r="D45" s="31"/>
      <c r="E45" s="5"/>
      <c r="F45" s="31" t="s">
        <v>180</v>
      </c>
      <c r="G45" s="31"/>
      <c r="H45" s="31"/>
      <c r="I45" s="6">
        <v>100</v>
      </c>
    </row>
    <row r="46" spans="1:15" x14ac:dyDescent="0.35">
      <c r="A46" s="4">
        <v>45720</v>
      </c>
      <c r="B46" s="31"/>
      <c r="C46" s="31"/>
      <c r="D46" s="31"/>
      <c r="E46" s="5"/>
      <c r="F46" s="31" t="s">
        <v>161</v>
      </c>
      <c r="G46" s="31"/>
      <c r="H46" s="31"/>
      <c r="I46" s="6">
        <v>2700</v>
      </c>
    </row>
    <row r="47" spans="1:15" x14ac:dyDescent="0.35">
      <c r="A47" s="4">
        <v>45720</v>
      </c>
      <c r="B47" s="31" t="s">
        <v>161</v>
      </c>
      <c r="C47" s="31"/>
      <c r="D47" s="31"/>
      <c r="E47" s="5">
        <v>2700</v>
      </c>
      <c r="F47" s="31"/>
      <c r="G47" s="31"/>
      <c r="H47" s="31"/>
      <c r="I47" s="6"/>
    </row>
    <row r="48" spans="1:15" x14ac:dyDescent="0.35">
      <c r="A48" s="4">
        <v>45734</v>
      </c>
      <c r="B48" s="31"/>
      <c r="C48" s="31"/>
      <c r="D48" s="31"/>
      <c r="E48" s="5"/>
      <c r="F48" s="31" t="s">
        <v>174</v>
      </c>
      <c r="G48" s="31"/>
      <c r="H48" s="31"/>
      <c r="I48" s="6">
        <v>150</v>
      </c>
    </row>
    <row r="49" spans="1:9" x14ac:dyDescent="0.35">
      <c r="A49" s="4">
        <v>45736</v>
      </c>
      <c r="B49" s="31"/>
      <c r="C49" s="31"/>
      <c r="D49" s="31"/>
      <c r="E49" s="5"/>
      <c r="F49" s="31" t="s">
        <v>181</v>
      </c>
      <c r="G49" s="31"/>
      <c r="H49" s="31"/>
      <c r="I49" s="6">
        <v>150</v>
      </c>
    </row>
    <row r="50" spans="1:9" x14ac:dyDescent="0.35">
      <c r="A50" s="4">
        <v>45740</v>
      </c>
      <c r="B50" s="31" t="s">
        <v>29</v>
      </c>
      <c r="C50" s="31"/>
      <c r="D50" s="31"/>
      <c r="E50" s="5">
        <v>2200</v>
      </c>
      <c r="F50" s="31"/>
      <c r="G50" s="31"/>
      <c r="H50" s="31"/>
      <c r="I50" s="6"/>
    </row>
    <row r="51" spans="1:9" ht="15.5" x14ac:dyDescent="0.45">
      <c r="A51" s="3"/>
      <c r="B51" s="31"/>
      <c r="C51" s="31"/>
      <c r="D51" s="31"/>
      <c r="E51" s="16">
        <v>8650</v>
      </c>
      <c r="F51" s="31"/>
      <c r="G51" s="31"/>
      <c r="H51" s="31"/>
      <c r="I51" s="17">
        <f>SUM(I38:I49)</f>
        <v>8650</v>
      </c>
    </row>
    <row r="52" spans="1:9" x14ac:dyDescent="0.35">
      <c r="A52" s="3"/>
      <c r="B52" s="31"/>
      <c r="C52" s="31"/>
      <c r="D52" s="31"/>
      <c r="E52" s="5"/>
      <c r="F52" s="31"/>
      <c r="G52" s="31"/>
      <c r="H52" s="31"/>
      <c r="I52" s="6"/>
    </row>
    <row r="53" spans="1:9" x14ac:dyDescent="0.35">
      <c r="A53" s="4">
        <v>45741</v>
      </c>
      <c r="B53" s="31"/>
      <c r="C53" s="31"/>
      <c r="D53" s="31"/>
      <c r="E53" s="5"/>
      <c r="F53" s="42" t="s">
        <v>126</v>
      </c>
      <c r="G53" s="42"/>
      <c r="H53" s="42"/>
      <c r="I53" s="15">
        <v>2200</v>
      </c>
    </row>
    <row r="54" spans="1:9" x14ac:dyDescent="0.35">
      <c r="A54" s="4">
        <v>45720</v>
      </c>
      <c r="B54" s="31" t="s">
        <v>195</v>
      </c>
      <c r="C54" s="31"/>
      <c r="D54" s="31"/>
      <c r="E54" s="5">
        <v>750</v>
      </c>
      <c r="F54" s="31"/>
      <c r="G54" s="31"/>
      <c r="H54" s="31"/>
      <c r="I54" s="6"/>
    </row>
    <row r="55" spans="1:9" x14ac:dyDescent="0.35">
      <c r="A55" s="4">
        <v>45736</v>
      </c>
      <c r="B55" s="31"/>
      <c r="C55" s="31"/>
      <c r="D55" s="31"/>
      <c r="E55" s="5"/>
      <c r="F55" s="31" t="s">
        <v>191</v>
      </c>
      <c r="G55" s="31"/>
      <c r="H55" s="31"/>
      <c r="I55" s="6">
        <v>500</v>
      </c>
    </row>
    <row r="56" spans="1:9" x14ac:dyDescent="0.35">
      <c r="A56" s="4">
        <v>45741</v>
      </c>
      <c r="B56" s="31"/>
      <c r="C56" s="31"/>
      <c r="D56" s="31"/>
      <c r="E56" s="5"/>
      <c r="F56" s="31" t="s">
        <v>192</v>
      </c>
      <c r="G56" s="31"/>
      <c r="H56" s="31"/>
      <c r="I56" s="6">
        <v>100</v>
      </c>
    </row>
    <row r="57" spans="1:9" x14ac:dyDescent="0.35">
      <c r="A57" s="4">
        <v>45763</v>
      </c>
      <c r="B57" s="31"/>
      <c r="C57" s="31"/>
      <c r="D57" s="31"/>
      <c r="E57" s="5"/>
      <c r="F57" s="31" t="s">
        <v>193</v>
      </c>
      <c r="G57" s="31"/>
      <c r="H57" s="31"/>
      <c r="I57" s="6">
        <v>1350</v>
      </c>
    </row>
    <row r="58" spans="1:9" x14ac:dyDescent="0.35">
      <c r="A58" s="4">
        <v>45769</v>
      </c>
      <c r="B58" s="31"/>
      <c r="C58" s="31"/>
      <c r="D58" s="31"/>
      <c r="E58" s="5"/>
      <c r="F58" s="31" t="s">
        <v>194</v>
      </c>
      <c r="G58" s="31"/>
      <c r="H58" s="31"/>
      <c r="I58" s="6">
        <v>3200</v>
      </c>
    </row>
    <row r="59" spans="1:9" x14ac:dyDescent="0.35">
      <c r="A59" s="4">
        <v>45770</v>
      </c>
      <c r="B59" s="31" t="s">
        <v>29</v>
      </c>
      <c r="C59" s="31"/>
      <c r="D59" s="31"/>
      <c r="E59" s="5">
        <v>6600</v>
      </c>
      <c r="F59" s="31"/>
      <c r="G59" s="31"/>
      <c r="H59" s="31"/>
      <c r="I59" s="6" t="s">
        <v>66</v>
      </c>
    </row>
    <row r="60" spans="1:9" ht="15.5" x14ac:dyDescent="0.45">
      <c r="A60" s="3"/>
      <c r="B60" s="31"/>
      <c r="C60" s="31"/>
      <c r="D60" s="31"/>
      <c r="E60" s="12">
        <v>7350</v>
      </c>
      <c r="F60" s="31"/>
      <c r="G60" s="31"/>
      <c r="H60" s="31"/>
      <c r="I60" s="11">
        <f>SUM(I53:I58)</f>
        <v>7350</v>
      </c>
    </row>
    <row r="61" spans="1:9" x14ac:dyDescent="0.35">
      <c r="A61" s="3"/>
      <c r="B61" s="31"/>
      <c r="C61" s="31"/>
      <c r="D61" s="31"/>
      <c r="E61" s="5"/>
      <c r="F61" s="31"/>
      <c r="G61" s="31"/>
      <c r="H61" s="31"/>
      <c r="I61" s="6"/>
    </row>
    <row r="62" spans="1:9" x14ac:dyDescent="0.35">
      <c r="A62" s="3"/>
      <c r="B62" s="31"/>
      <c r="C62" s="31"/>
      <c r="D62" s="31"/>
      <c r="E62" s="5"/>
      <c r="F62" s="42" t="s">
        <v>126</v>
      </c>
      <c r="G62" s="42"/>
      <c r="H62" s="42"/>
      <c r="I62" s="15">
        <v>6600</v>
      </c>
    </row>
    <row r="63" spans="1:9" x14ac:dyDescent="0.35">
      <c r="A63" s="3"/>
      <c r="B63" s="31"/>
      <c r="C63" s="31"/>
      <c r="D63" s="31"/>
      <c r="E63" s="5"/>
      <c r="F63" s="31"/>
      <c r="G63" s="31"/>
      <c r="H63" s="31"/>
      <c r="I63" s="6"/>
    </row>
    <row r="64" spans="1:9" x14ac:dyDescent="0.35">
      <c r="A64" s="3"/>
      <c r="B64" s="31"/>
      <c r="C64" s="31"/>
      <c r="D64" s="31"/>
      <c r="E64" s="5"/>
      <c r="F64" s="31"/>
      <c r="G64" s="31"/>
      <c r="H64" s="31"/>
      <c r="I64" s="6"/>
    </row>
    <row r="65" spans="1:9" x14ac:dyDescent="0.35">
      <c r="A65" s="3"/>
      <c r="B65" s="31"/>
      <c r="C65" s="31"/>
      <c r="D65" s="31"/>
      <c r="E65" s="5"/>
      <c r="F65" s="31"/>
      <c r="G65" s="31"/>
      <c r="H65" s="31"/>
      <c r="I65" s="6"/>
    </row>
    <row r="66" spans="1:9" x14ac:dyDescent="0.35">
      <c r="A66" s="3"/>
      <c r="B66" s="31"/>
      <c r="C66" s="31"/>
      <c r="D66" s="31"/>
      <c r="E66" s="5"/>
      <c r="F66" s="31"/>
      <c r="G66" s="31"/>
      <c r="H66" s="31"/>
      <c r="I66" s="6"/>
    </row>
    <row r="67" spans="1:9" x14ac:dyDescent="0.35">
      <c r="A67" s="3"/>
      <c r="B67" s="31"/>
      <c r="C67" s="31"/>
      <c r="D67" s="31"/>
      <c r="E67" s="5"/>
      <c r="F67" s="31"/>
      <c r="G67" s="31"/>
      <c r="H67" s="31"/>
      <c r="I67" s="6"/>
    </row>
    <row r="68" spans="1:9" x14ac:dyDescent="0.35">
      <c r="A68" s="3"/>
      <c r="B68" s="31"/>
      <c r="C68" s="31"/>
      <c r="D68" s="31"/>
      <c r="E68" s="5"/>
      <c r="F68" s="31"/>
      <c r="G68" s="31"/>
      <c r="H68" s="31"/>
      <c r="I68" s="6"/>
    </row>
    <row r="69" spans="1:9" x14ac:dyDescent="0.35">
      <c r="A69" s="3"/>
      <c r="B69" s="31"/>
      <c r="C69" s="31"/>
      <c r="D69" s="31"/>
      <c r="E69" s="5"/>
      <c r="F69" s="31"/>
      <c r="G69" s="31"/>
      <c r="H69" s="31"/>
      <c r="I69" s="6"/>
    </row>
    <row r="70" spans="1:9" x14ac:dyDescent="0.35">
      <c r="A70" s="3"/>
      <c r="B70" s="31"/>
      <c r="C70" s="31"/>
      <c r="D70" s="31"/>
      <c r="E70" s="5"/>
      <c r="F70" s="31"/>
      <c r="G70" s="31"/>
      <c r="H70" s="31"/>
      <c r="I70" s="6"/>
    </row>
    <row r="71" spans="1:9" x14ac:dyDescent="0.35">
      <c r="A71" s="3"/>
      <c r="B71" s="31"/>
      <c r="C71" s="31"/>
      <c r="D71" s="31"/>
      <c r="E71" s="5"/>
      <c r="F71" s="31"/>
      <c r="G71" s="31"/>
      <c r="H71" s="31"/>
      <c r="I71" s="6"/>
    </row>
    <row r="72" spans="1:9" x14ac:dyDescent="0.35">
      <c r="A72" s="3"/>
      <c r="B72" s="31"/>
      <c r="C72" s="31"/>
      <c r="D72" s="31"/>
      <c r="E72" s="5"/>
      <c r="F72" s="31"/>
      <c r="G72" s="31"/>
      <c r="H72" s="31"/>
      <c r="I72" s="6"/>
    </row>
    <row r="73" spans="1:9" x14ac:dyDescent="0.35">
      <c r="A73" s="3"/>
      <c r="B73" s="31"/>
      <c r="C73" s="31"/>
      <c r="D73" s="31"/>
      <c r="E73" s="5"/>
      <c r="F73" s="31"/>
      <c r="G73" s="31"/>
      <c r="H73" s="31"/>
      <c r="I73" s="6"/>
    </row>
    <row r="74" spans="1:9" x14ac:dyDescent="0.35">
      <c r="A74" s="3"/>
      <c r="B74" s="31"/>
      <c r="C74" s="31"/>
      <c r="D74" s="31"/>
      <c r="E74" s="5"/>
      <c r="F74" s="31"/>
      <c r="G74" s="31"/>
      <c r="H74" s="31"/>
      <c r="I74" s="6"/>
    </row>
    <row r="75" spans="1:9" x14ac:dyDescent="0.35">
      <c r="A75" s="3"/>
      <c r="B75" s="31"/>
      <c r="C75" s="31"/>
      <c r="D75" s="31"/>
      <c r="E75" s="5"/>
      <c r="F75" s="31"/>
      <c r="G75" s="31"/>
      <c r="H75" s="31"/>
      <c r="I75" s="6"/>
    </row>
    <row r="76" spans="1:9" x14ac:dyDescent="0.35">
      <c r="A76" s="3"/>
      <c r="B76" s="31"/>
      <c r="C76" s="31"/>
      <c r="D76" s="31"/>
      <c r="E76" s="5"/>
      <c r="F76" s="31"/>
      <c r="G76" s="31"/>
      <c r="H76" s="31"/>
      <c r="I76" s="6"/>
    </row>
  </sheetData>
  <mergeCells count="151">
    <mergeCell ref="B38:D38"/>
    <mergeCell ref="F38:H38"/>
    <mergeCell ref="B40:D40"/>
    <mergeCell ref="F40:H40"/>
    <mergeCell ref="B35:D35"/>
    <mergeCell ref="F35:H35"/>
    <mergeCell ref="B36:D36"/>
    <mergeCell ref="F36:H36"/>
    <mergeCell ref="B37:D37"/>
    <mergeCell ref="F37:H37"/>
    <mergeCell ref="B39:D39"/>
    <mergeCell ref="F39:H39"/>
    <mergeCell ref="B29:D29"/>
    <mergeCell ref="F29:H29"/>
    <mergeCell ref="B31:D31"/>
    <mergeCell ref="F31:H31"/>
    <mergeCell ref="B32:D32"/>
    <mergeCell ref="F32:H32"/>
    <mergeCell ref="B33:D33"/>
    <mergeCell ref="F33:H33"/>
    <mergeCell ref="B34:D34"/>
    <mergeCell ref="F34:H34"/>
    <mergeCell ref="B21:D21"/>
    <mergeCell ref="F21:H21"/>
    <mergeCell ref="B22:D22"/>
    <mergeCell ref="F22:H22"/>
    <mergeCell ref="B23:D23"/>
    <mergeCell ref="F23:H23"/>
    <mergeCell ref="B27:D27"/>
    <mergeCell ref="F27:H27"/>
    <mergeCell ref="B28:D28"/>
    <mergeCell ref="F28:H28"/>
    <mergeCell ref="B24:D24"/>
    <mergeCell ref="F24:H24"/>
    <mergeCell ref="B25:D25"/>
    <mergeCell ref="F25:H25"/>
    <mergeCell ref="B26:D26"/>
    <mergeCell ref="F26:H26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44:D44"/>
    <mergeCell ref="F44:H44"/>
    <mergeCell ref="B46:D46"/>
    <mergeCell ref="F46:H46"/>
    <mergeCell ref="B47:D47"/>
    <mergeCell ref="F47:H47"/>
    <mergeCell ref="B41:D41"/>
    <mergeCell ref="F41:H41"/>
    <mergeCell ref="B42:D42"/>
    <mergeCell ref="F42:H42"/>
    <mergeCell ref="B43:D43"/>
    <mergeCell ref="F43:H43"/>
    <mergeCell ref="B45:D45"/>
    <mergeCell ref="F45:H45"/>
    <mergeCell ref="B52:D52"/>
    <mergeCell ref="F52:H52"/>
    <mergeCell ref="B53:D53"/>
    <mergeCell ref="F53:H53"/>
    <mergeCell ref="B54:D54"/>
    <mergeCell ref="F54:H54"/>
    <mergeCell ref="B48:D48"/>
    <mergeCell ref="F48:H48"/>
    <mergeCell ref="B49:D49"/>
    <mergeCell ref="F49:H49"/>
    <mergeCell ref="B51:D51"/>
    <mergeCell ref="F51:H51"/>
    <mergeCell ref="B50:D50"/>
    <mergeCell ref="F50:H50"/>
    <mergeCell ref="B58:D58"/>
    <mergeCell ref="F58:H58"/>
    <mergeCell ref="B59:D59"/>
    <mergeCell ref="F59:H59"/>
    <mergeCell ref="B60:D60"/>
    <mergeCell ref="F60:H60"/>
    <mergeCell ref="B55:D55"/>
    <mergeCell ref="F55:H55"/>
    <mergeCell ref="B56:D56"/>
    <mergeCell ref="F56:H56"/>
    <mergeCell ref="B57:D57"/>
    <mergeCell ref="F57:H57"/>
    <mergeCell ref="B65:D65"/>
    <mergeCell ref="F65:H65"/>
    <mergeCell ref="B66:D66"/>
    <mergeCell ref="F66:H66"/>
    <mergeCell ref="B61:D61"/>
    <mergeCell ref="F61:H61"/>
    <mergeCell ref="B62:D62"/>
    <mergeCell ref="F62:H62"/>
    <mergeCell ref="B63:D63"/>
    <mergeCell ref="F63:H63"/>
    <mergeCell ref="B76:D76"/>
    <mergeCell ref="F76:H76"/>
    <mergeCell ref="B30:D30"/>
    <mergeCell ref="F30:H30"/>
    <mergeCell ref="B73:D73"/>
    <mergeCell ref="F73:H73"/>
    <mergeCell ref="B74:D74"/>
    <mergeCell ref="F74:H74"/>
    <mergeCell ref="B75:D75"/>
    <mergeCell ref="F75:H75"/>
    <mergeCell ref="B70:D70"/>
    <mergeCell ref="F70:H70"/>
    <mergeCell ref="B71:D71"/>
    <mergeCell ref="F71:H71"/>
    <mergeCell ref="B72:D72"/>
    <mergeCell ref="F72:H72"/>
    <mergeCell ref="B67:D67"/>
    <mergeCell ref="F67:H67"/>
    <mergeCell ref="B68:D68"/>
    <mergeCell ref="F68:H68"/>
    <mergeCell ref="B69:D69"/>
    <mergeCell ref="F69:H69"/>
    <mergeCell ref="B64:D64"/>
    <mergeCell ref="F64:H64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8"/>
  <sheetViews>
    <sheetView workbookViewId="0">
      <selection activeCell="E10" sqref="E10"/>
    </sheetView>
  </sheetViews>
  <sheetFormatPr defaultRowHeight="14.5" x14ac:dyDescent="0.35"/>
  <cols>
    <col min="5" max="5" width="9.7265625" customWidth="1"/>
    <col min="9" max="9" width="9.7265625" customWidth="1"/>
  </cols>
  <sheetData>
    <row r="1" spans="1:9" ht="20" thickBot="1" x14ac:dyDescent="0.5">
      <c r="A1" s="32" t="s">
        <v>111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19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45657</v>
      </c>
      <c r="B3" s="33" t="s">
        <v>138</v>
      </c>
      <c r="C3" s="34"/>
      <c r="D3" s="35"/>
      <c r="E3" s="5">
        <v>4200</v>
      </c>
      <c r="F3" s="33"/>
      <c r="G3" s="34"/>
      <c r="H3" s="35"/>
      <c r="I3" s="6"/>
    </row>
    <row r="4" spans="1:9" x14ac:dyDescent="0.35">
      <c r="A4" s="4">
        <v>45297</v>
      </c>
      <c r="B4" s="33" t="s">
        <v>139</v>
      </c>
      <c r="C4" s="34"/>
      <c r="D4" s="35"/>
      <c r="E4" s="5">
        <v>800</v>
      </c>
      <c r="F4" s="33"/>
      <c r="G4" s="34"/>
      <c r="H4" s="35"/>
      <c r="I4" s="6"/>
    </row>
    <row r="5" spans="1:9" x14ac:dyDescent="0.35">
      <c r="A5" s="4">
        <v>45674</v>
      </c>
      <c r="B5" s="33" t="s">
        <v>112</v>
      </c>
      <c r="C5" s="34"/>
      <c r="D5" s="35"/>
      <c r="E5" s="5">
        <v>1000</v>
      </c>
      <c r="F5" s="33"/>
      <c r="G5" s="34"/>
      <c r="H5" s="35"/>
      <c r="I5" s="6"/>
    </row>
    <row r="6" spans="1:9" x14ac:dyDescent="0.35">
      <c r="A6" s="4">
        <v>45677</v>
      </c>
      <c r="B6" s="31" t="s">
        <v>112</v>
      </c>
      <c r="C6" s="31"/>
      <c r="D6" s="31"/>
      <c r="E6" s="5">
        <v>2000</v>
      </c>
      <c r="F6" s="31"/>
      <c r="G6" s="31"/>
      <c r="H6" s="31"/>
      <c r="I6" s="6"/>
    </row>
    <row r="7" spans="1:9" x14ac:dyDescent="0.35">
      <c r="A7" s="4">
        <v>45684</v>
      </c>
      <c r="B7" s="31" t="s">
        <v>113</v>
      </c>
      <c r="C7" s="31"/>
      <c r="D7" s="31"/>
      <c r="E7" s="5">
        <v>1000</v>
      </c>
      <c r="F7" s="31"/>
      <c r="G7" s="31"/>
      <c r="H7" s="31"/>
      <c r="I7" s="6"/>
    </row>
    <row r="8" spans="1:9" ht="15.5" x14ac:dyDescent="0.45">
      <c r="A8" s="4">
        <v>45726</v>
      </c>
      <c r="B8" s="31" t="s">
        <v>24</v>
      </c>
      <c r="C8" s="31"/>
      <c r="D8" s="31"/>
      <c r="E8" s="5">
        <v>500</v>
      </c>
      <c r="F8" s="31"/>
      <c r="G8" s="31"/>
      <c r="H8" s="31"/>
      <c r="I8" s="11"/>
    </row>
    <row r="9" spans="1:9" x14ac:dyDescent="0.35">
      <c r="A9" s="4">
        <v>45749</v>
      </c>
      <c r="B9" s="31" t="s">
        <v>186</v>
      </c>
      <c r="C9" s="31"/>
      <c r="D9" s="31"/>
      <c r="E9" s="5">
        <v>730</v>
      </c>
      <c r="F9" s="31"/>
      <c r="G9" s="31"/>
      <c r="H9" s="31"/>
      <c r="I9" s="6"/>
    </row>
    <row r="10" spans="1:9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4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4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/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 t="s">
        <v>19</v>
      </c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  <row r="37" spans="1:9" x14ac:dyDescent="0.35">
      <c r="A37" s="3"/>
      <c r="B37" s="31"/>
      <c r="C37" s="31"/>
      <c r="D37" s="31"/>
      <c r="E37" s="5"/>
      <c r="F37" s="31"/>
      <c r="G37" s="31"/>
      <c r="H37" s="31"/>
      <c r="I37" s="6"/>
    </row>
    <row r="38" spans="1:9" x14ac:dyDescent="0.35">
      <c r="A38" s="3"/>
      <c r="B38" s="31"/>
      <c r="C38" s="31"/>
      <c r="D38" s="31"/>
      <c r="E38" s="5"/>
      <c r="F38" s="31"/>
      <c r="G38" s="31"/>
      <c r="H38" s="31"/>
      <c r="I38" s="6"/>
    </row>
  </sheetData>
  <mergeCells count="75">
    <mergeCell ref="B37:D37"/>
    <mergeCell ref="F37:H37"/>
    <mergeCell ref="B38:D38"/>
    <mergeCell ref="F38:H38"/>
    <mergeCell ref="B34:D34"/>
    <mergeCell ref="F34:H34"/>
    <mergeCell ref="B35:D35"/>
    <mergeCell ref="F35:H35"/>
    <mergeCell ref="B36:D36"/>
    <mergeCell ref="F36:H36"/>
    <mergeCell ref="B31:D31"/>
    <mergeCell ref="F31:H31"/>
    <mergeCell ref="B32:D32"/>
    <mergeCell ref="F32:H32"/>
    <mergeCell ref="B33:D33"/>
    <mergeCell ref="F33:H33"/>
    <mergeCell ref="B28:D28"/>
    <mergeCell ref="F28:H28"/>
    <mergeCell ref="B29:D29"/>
    <mergeCell ref="F29:H29"/>
    <mergeCell ref="B30:D30"/>
    <mergeCell ref="F30:H30"/>
    <mergeCell ref="B25:D25"/>
    <mergeCell ref="F25:H25"/>
    <mergeCell ref="B26:D26"/>
    <mergeCell ref="F26:H26"/>
    <mergeCell ref="B27:D27"/>
    <mergeCell ref="F27:H27"/>
    <mergeCell ref="B22:D22"/>
    <mergeCell ref="F22:H22"/>
    <mergeCell ref="B23:D23"/>
    <mergeCell ref="F23:H23"/>
    <mergeCell ref="B24:D24"/>
    <mergeCell ref="F24:H24"/>
    <mergeCell ref="B19:D19"/>
    <mergeCell ref="F19:H19"/>
    <mergeCell ref="B20:D20"/>
    <mergeCell ref="F20:H20"/>
    <mergeCell ref="B21:D21"/>
    <mergeCell ref="F21:H21"/>
    <mergeCell ref="B16:D16"/>
    <mergeCell ref="F16:H16"/>
    <mergeCell ref="B17:D17"/>
    <mergeCell ref="F17:H17"/>
    <mergeCell ref="B18:D18"/>
    <mergeCell ref="F18:H18"/>
    <mergeCell ref="B13:D13"/>
    <mergeCell ref="F13:H13"/>
    <mergeCell ref="B14:D14"/>
    <mergeCell ref="F14:H14"/>
    <mergeCell ref="B15:D15"/>
    <mergeCell ref="F15:H15"/>
    <mergeCell ref="B10:D10"/>
    <mergeCell ref="F10:H10"/>
    <mergeCell ref="B11:D11"/>
    <mergeCell ref="F11:H11"/>
    <mergeCell ref="B12:D12"/>
    <mergeCell ref="F12:H12"/>
    <mergeCell ref="B7:D7"/>
    <mergeCell ref="F7:H7"/>
    <mergeCell ref="B8:D8"/>
    <mergeCell ref="F8:H8"/>
    <mergeCell ref="B9:D9"/>
    <mergeCell ref="F9:H9"/>
    <mergeCell ref="B6:D6"/>
    <mergeCell ref="F6:H6"/>
    <mergeCell ref="A1:I1"/>
    <mergeCell ref="B2:D2"/>
    <mergeCell ref="F2:H2"/>
    <mergeCell ref="B5:D5"/>
    <mergeCell ref="F5:H5"/>
    <mergeCell ref="B3:D3"/>
    <mergeCell ref="B4:D4"/>
    <mergeCell ref="F3:H3"/>
    <mergeCell ref="F4:H4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K36"/>
  <sheetViews>
    <sheetView topLeftCell="A4" workbookViewId="0">
      <selection activeCell="A8" sqref="A8:I24"/>
    </sheetView>
  </sheetViews>
  <sheetFormatPr defaultRowHeight="14.5" x14ac:dyDescent="0.35"/>
  <cols>
    <col min="5" max="5" width="9.54296875" customWidth="1"/>
    <col min="9" max="9" width="9.36328125" customWidth="1"/>
    <col min="11" max="11" width="9.90625" bestFit="1" customWidth="1"/>
  </cols>
  <sheetData>
    <row r="1" spans="1:9" ht="20" thickBot="1" x14ac:dyDescent="0.5">
      <c r="A1" s="32" t="s">
        <v>53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19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45532</v>
      </c>
      <c r="B3" s="33"/>
      <c r="C3" s="34"/>
      <c r="D3" s="35"/>
      <c r="E3" s="5"/>
      <c r="F3" s="33" t="s">
        <v>54</v>
      </c>
      <c r="G3" s="34"/>
      <c r="H3" s="35"/>
      <c r="I3" s="6">
        <v>2700</v>
      </c>
    </row>
    <row r="4" spans="1:9" x14ac:dyDescent="0.35">
      <c r="A4" s="4">
        <v>45547</v>
      </c>
      <c r="B4" s="31" t="s">
        <v>3</v>
      </c>
      <c r="C4" s="31"/>
      <c r="D4" s="31"/>
      <c r="E4" s="5">
        <v>1500</v>
      </c>
      <c r="F4" s="31"/>
      <c r="G4" s="31"/>
      <c r="H4" s="31"/>
      <c r="I4" s="6"/>
    </row>
    <row r="5" spans="1:9" x14ac:dyDescent="0.35">
      <c r="A5" s="4">
        <v>45572</v>
      </c>
      <c r="B5" s="31" t="s">
        <v>21</v>
      </c>
      <c r="C5" s="31"/>
      <c r="D5" s="31"/>
      <c r="E5" s="5">
        <v>1200</v>
      </c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12"/>
      <c r="F6" s="31"/>
      <c r="G6" s="31"/>
      <c r="H6" s="31"/>
      <c r="I6" s="11"/>
    </row>
    <row r="7" spans="1:9" ht="15.5" x14ac:dyDescent="0.45">
      <c r="A7" s="4"/>
      <c r="B7" s="31"/>
      <c r="C7" s="31"/>
      <c r="D7" s="31"/>
      <c r="E7" s="16">
        <v>2700</v>
      </c>
      <c r="F7" s="31"/>
      <c r="G7" s="31"/>
      <c r="H7" s="31"/>
      <c r="I7" s="17">
        <v>2700</v>
      </c>
    </row>
    <row r="8" spans="1:9" x14ac:dyDescent="0.35">
      <c r="A8" s="4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>
        <v>45702</v>
      </c>
      <c r="B9" s="31"/>
      <c r="C9" s="31"/>
      <c r="D9" s="31"/>
      <c r="E9" s="5"/>
      <c r="F9" s="31" t="s">
        <v>148</v>
      </c>
      <c r="G9" s="31"/>
      <c r="H9" s="31"/>
      <c r="I9" s="6">
        <v>2700</v>
      </c>
    </row>
    <row r="10" spans="1:9" x14ac:dyDescent="0.35">
      <c r="A10" s="4"/>
      <c r="B10" s="31"/>
      <c r="C10" s="31"/>
      <c r="D10" s="31"/>
      <c r="E10" s="5"/>
      <c r="F10" s="31" t="s">
        <v>137</v>
      </c>
      <c r="G10" s="31"/>
      <c r="H10" s="31"/>
      <c r="I10" s="6">
        <v>300</v>
      </c>
    </row>
    <row r="11" spans="1:9" x14ac:dyDescent="0.35">
      <c r="A11" s="4">
        <v>45692</v>
      </c>
      <c r="B11" s="31" t="s">
        <v>24</v>
      </c>
      <c r="C11" s="31"/>
      <c r="D11" s="31"/>
      <c r="E11" s="5">
        <v>2510</v>
      </c>
      <c r="F11" s="31"/>
      <c r="G11" s="31"/>
      <c r="H11" s="31"/>
      <c r="I11" s="6"/>
    </row>
    <row r="12" spans="1:9" x14ac:dyDescent="0.35">
      <c r="A12" s="4">
        <v>45730</v>
      </c>
      <c r="B12" s="31" t="s">
        <v>24</v>
      </c>
      <c r="C12" s="31"/>
      <c r="D12" s="31"/>
      <c r="E12" s="5">
        <v>500</v>
      </c>
      <c r="F12" s="31"/>
      <c r="G12" s="31"/>
      <c r="H12" s="31"/>
      <c r="I12" s="6"/>
    </row>
    <row r="13" spans="1:9" x14ac:dyDescent="0.35">
      <c r="A13" s="4">
        <v>45818</v>
      </c>
      <c r="B13" s="31"/>
      <c r="C13" s="31"/>
      <c r="D13" s="31"/>
      <c r="E13" s="5"/>
      <c r="F13" s="36" t="s">
        <v>229</v>
      </c>
      <c r="G13" s="36"/>
      <c r="H13" s="36"/>
      <c r="I13" s="6">
        <v>360</v>
      </c>
    </row>
    <row r="14" spans="1:9" x14ac:dyDescent="0.35">
      <c r="A14" s="4">
        <v>45849</v>
      </c>
      <c r="B14" s="31" t="s">
        <v>24</v>
      </c>
      <c r="C14" s="31"/>
      <c r="D14" s="31"/>
      <c r="E14" s="5">
        <v>270</v>
      </c>
      <c r="F14" s="31"/>
      <c r="G14" s="31"/>
      <c r="H14" s="31"/>
      <c r="I14" s="6"/>
    </row>
    <row r="15" spans="1:9" x14ac:dyDescent="0.35">
      <c r="A15" s="4">
        <v>45868</v>
      </c>
      <c r="B15" s="31"/>
      <c r="C15" s="31"/>
      <c r="D15" s="31"/>
      <c r="E15" s="5"/>
      <c r="F15" s="31" t="s">
        <v>251</v>
      </c>
      <c r="G15" s="31"/>
      <c r="H15" s="31"/>
      <c r="I15" s="6">
        <v>560</v>
      </c>
    </row>
    <row r="16" spans="1:9" x14ac:dyDescent="0.35">
      <c r="A16" s="4">
        <v>45868</v>
      </c>
      <c r="B16" s="31" t="s">
        <v>252</v>
      </c>
      <c r="C16" s="31"/>
      <c r="D16" s="31"/>
      <c r="E16" s="5">
        <v>560</v>
      </c>
      <c r="F16" s="31"/>
      <c r="G16" s="31"/>
      <c r="H16" s="31"/>
      <c r="I16" s="6"/>
    </row>
    <row r="17" spans="1:11" x14ac:dyDescent="0.35">
      <c r="A17" s="4">
        <v>45856</v>
      </c>
      <c r="B17" s="31"/>
      <c r="C17" s="31"/>
      <c r="D17" s="31"/>
      <c r="E17" s="5"/>
      <c r="F17" s="31" t="s">
        <v>253</v>
      </c>
      <c r="G17" s="31"/>
      <c r="H17" s="31"/>
      <c r="I17" s="6">
        <v>300</v>
      </c>
    </row>
    <row r="18" spans="1:11" x14ac:dyDescent="0.35">
      <c r="A18" s="4">
        <v>45890</v>
      </c>
      <c r="B18" s="31"/>
      <c r="C18" s="31"/>
      <c r="D18" s="31"/>
      <c r="E18" s="5"/>
      <c r="F18" s="31" t="s">
        <v>254</v>
      </c>
      <c r="G18" s="31"/>
      <c r="H18" s="31"/>
      <c r="I18" s="6">
        <v>120</v>
      </c>
    </row>
    <row r="19" spans="1:11" x14ac:dyDescent="0.35">
      <c r="A19" s="4">
        <v>45900</v>
      </c>
      <c r="B19" s="31" t="s">
        <v>29</v>
      </c>
      <c r="C19" s="31"/>
      <c r="D19" s="31"/>
      <c r="E19" s="5">
        <f>E20-K19</f>
        <v>500</v>
      </c>
      <c r="F19" s="31"/>
      <c r="G19" s="31"/>
      <c r="H19" s="31"/>
      <c r="I19" s="6"/>
      <c r="K19" s="9">
        <f>SUM(E11:E16)</f>
        <v>3840</v>
      </c>
    </row>
    <row r="20" spans="1:11" ht="15.5" x14ac:dyDescent="0.45">
      <c r="A20" s="3"/>
      <c r="B20" s="31"/>
      <c r="C20" s="31"/>
      <c r="D20" s="31"/>
      <c r="E20" s="16">
        <f>I20</f>
        <v>4340</v>
      </c>
      <c r="F20" s="31"/>
      <c r="G20" s="31"/>
      <c r="H20" s="31"/>
      <c r="I20" s="17">
        <f>SUM(I9:I18)</f>
        <v>4340</v>
      </c>
    </row>
    <row r="21" spans="1:11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11" x14ac:dyDescent="0.35">
      <c r="A22" s="4">
        <v>45870</v>
      </c>
      <c r="B22" s="31"/>
      <c r="C22" s="31"/>
      <c r="D22" s="31"/>
      <c r="E22" s="5"/>
      <c r="F22" s="42" t="s">
        <v>4</v>
      </c>
      <c r="G22" s="42"/>
      <c r="H22" s="42"/>
      <c r="I22" s="15">
        <v>500</v>
      </c>
    </row>
    <row r="23" spans="1:11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11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11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11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11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11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11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11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11" x14ac:dyDescent="0.35">
      <c r="A31" s="3"/>
      <c r="B31" s="31" t="s">
        <v>19</v>
      </c>
      <c r="C31" s="31"/>
      <c r="D31" s="31"/>
      <c r="E31" s="5"/>
      <c r="F31" s="31"/>
      <c r="G31" s="31"/>
      <c r="H31" s="31"/>
      <c r="I31" s="6"/>
    </row>
    <row r="32" spans="1:11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36"/>
  <sheetViews>
    <sheetView workbookViewId="0">
      <selection activeCell="I17" sqref="I17"/>
    </sheetView>
  </sheetViews>
  <sheetFormatPr defaultRowHeight="14.5" x14ac:dyDescent="0.35"/>
  <cols>
    <col min="5" max="5" width="9.6328125" customWidth="1"/>
    <col min="9" max="9" width="9.453125" customWidth="1"/>
  </cols>
  <sheetData>
    <row r="1" spans="1:9" ht="20" thickBot="1" x14ac:dyDescent="0.5">
      <c r="A1" s="32" t="s">
        <v>35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19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45400</v>
      </c>
      <c r="B3" s="33"/>
      <c r="C3" s="34"/>
      <c r="D3" s="35"/>
      <c r="E3" s="5"/>
      <c r="F3" s="33" t="s">
        <v>33</v>
      </c>
      <c r="G3" s="34"/>
      <c r="H3" s="35"/>
      <c r="I3" s="6">
        <v>3250</v>
      </c>
    </row>
    <row r="4" spans="1:9" x14ac:dyDescent="0.35">
      <c r="A4" s="4">
        <v>45421</v>
      </c>
      <c r="B4" s="31" t="s">
        <v>26</v>
      </c>
      <c r="C4" s="31"/>
      <c r="D4" s="31"/>
      <c r="E4" s="5">
        <v>1000</v>
      </c>
      <c r="F4" s="31"/>
      <c r="G4" s="31"/>
      <c r="H4" s="31"/>
      <c r="I4" s="6"/>
    </row>
    <row r="5" spans="1:9" x14ac:dyDescent="0.35">
      <c r="A5" s="4"/>
      <c r="B5" s="31" t="s">
        <v>29</v>
      </c>
      <c r="C5" s="31"/>
      <c r="D5" s="31"/>
      <c r="E5" s="5">
        <v>2250</v>
      </c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12">
        <v>3250</v>
      </c>
      <c r="F6" s="31"/>
      <c r="G6" s="31"/>
      <c r="H6" s="31"/>
      <c r="I6" s="11">
        <v>3250</v>
      </c>
    </row>
    <row r="7" spans="1:9" x14ac:dyDescent="0.35">
      <c r="A7" s="4"/>
      <c r="B7" s="31"/>
      <c r="C7" s="31"/>
      <c r="D7" s="31"/>
      <c r="E7" s="5"/>
      <c r="F7" s="31"/>
      <c r="G7" s="31"/>
      <c r="H7" s="31"/>
      <c r="I7" s="6"/>
    </row>
    <row r="8" spans="1:9" x14ac:dyDescent="0.35">
      <c r="A8" s="4">
        <v>45421</v>
      </c>
      <c r="B8" s="31"/>
      <c r="C8" s="31"/>
      <c r="D8" s="31"/>
      <c r="E8" s="5"/>
      <c r="F8" s="31" t="s">
        <v>4</v>
      </c>
      <c r="G8" s="31"/>
      <c r="H8" s="31"/>
      <c r="I8" s="6">
        <v>2250</v>
      </c>
    </row>
    <row r="9" spans="1:9" x14ac:dyDescent="0.35">
      <c r="A9" s="4">
        <v>45423</v>
      </c>
      <c r="B9" s="31" t="s">
        <v>24</v>
      </c>
      <c r="C9" s="31"/>
      <c r="D9" s="31"/>
      <c r="E9" s="5">
        <v>1250</v>
      </c>
      <c r="F9" s="31"/>
      <c r="G9" s="31"/>
      <c r="H9" s="31"/>
      <c r="I9" s="6"/>
    </row>
    <row r="10" spans="1:9" x14ac:dyDescent="0.35">
      <c r="A10" s="4">
        <v>45427</v>
      </c>
      <c r="B10" s="31" t="s">
        <v>24</v>
      </c>
      <c r="C10" s="31"/>
      <c r="D10" s="31"/>
      <c r="E10" s="5">
        <v>500</v>
      </c>
      <c r="F10" s="31"/>
      <c r="G10" s="31"/>
      <c r="H10" s="31"/>
      <c r="I10" s="6"/>
    </row>
    <row r="11" spans="1:9" x14ac:dyDescent="0.35">
      <c r="A11" s="4">
        <v>45429</v>
      </c>
      <c r="B11" s="31" t="s">
        <v>24</v>
      </c>
      <c r="C11" s="31"/>
      <c r="D11" s="31"/>
      <c r="E11" s="5">
        <v>500</v>
      </c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ht="15.5" x14ac:dyDescent="0.45">
      <c r="A13" s="3"/>
      <c r="B13" s="31"/>
      <c r="C13" s="31"/>
      <c r="D13" s="31"/>
      <c r="E13" s="12">
        <v>2250</v>
      </c>
      <c r="F13" s="31"/>
      <c r="G13" s="31"/>
      <c r="H13" s="31"/>
      <c r="I13" s="11">
        <v>2250</v>
      </c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4">
        <v>45713</v>
      </c>
      <c r="B15" s="31" t="s">
        <v>155</v>
      </c>
      <c r="C15" s="31"/>
      <c r="D15" s="31"/>
      <c r="E15" s="5">
        <v>500</v>
      </c>
      <c r="F15" s="31"/>
      <c r="G15" s="31"/>
      <c r="H15" s="31"/>
      <c r="I15" s="6"/>
    </row>
    <row r="16" spans="1:9" x14ac:dyDescent="0.35">
      <c r="A16" s="4">
        <v>45722</v>
      </c>
      <c r="B16" s="31"/>
      <c r="C16" s="31"/>
      <c r="D16" s="31"/>
      <c r="E16" s="5"/>
      <c r="F16" s="31" t="s">
        <v>156</v>
      </c>
      <c r="G16" s="31"/>
      <c r="H16" s="31"/>
      <c r="I16" s="6">
        <v>80</v>
      </c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 t="s">
        <v>19</v>
      </c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4:D4"/>
    <mergeCell ref="F4:H4"/>
    <mergeCell ref="A1:I1"/>
    <mergeCell ref="B2:D2"/>
    <mergeCell ref="F2:H2"/>
    <mergeCell ref="B3:D3"/>
    <mergeCell ref="F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B30:D30"/>
    <mergeCell ref="F30:H30"/>
    <mergeCell ref="B31:D31"/>
    <mergeCell ref="F31:H31"/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I36"/>
  <sheetViews>
    <sheetView workbookViewId="0">
      <selection activeCell="E22" sqref="E22"/>
    </sheetView>
  </sheetViews>
  <sheetFormatPr defaultRowHeight="14.5" x14ac:dyDescent="0.35"/>
  <cols>
    <col min="9" max="9" width="9.54296875" customWidth="1"/>
  </cols>
  <sheetData>
    <row r="1" spans="1:9" ht="20" thickBot="1" x14ac:dyDescent="0.5">
      <c r="A1" s="32" t="s">
        <v>42</v>
      </c>
      <c r="B1" s="32"/>
      <c r="C1" s="32"/>
      <c r="D1" s="32"/>
      <c r="E1" s="32"/>
      <c r="F1" s="32"/>
      <c r="G1" s="32"/>
      <c r="H1" s="32"/>
      <c r="I1" s="32"/>
    </row>
    <row r="2" spans="1:9" ht="15" thickTop="1" x14ac:dyDescent="0.35">
      <c r="A2" s="3" t="s">
        <v>19</v>
      </c>
      <c r="B2" s="31" t="s">
        <v>2</v>
      </c>
      <c r="C2" s="31"/>
      <c r="D2" s="31"/>
      <c r="E2" s="5"/>
      <c r="F2" s="31" t="s">
        <v>2</v>
      </c>
      <c r="G2" s="31"/>
      <c r="H2" s="31"/>
      <c r="I2" s="6"/>
    </row>
    <row r="3" spans="1:9" x14ac:dyDescent="0.35">
      <c r="A3" s="4">
        <v>45463</v>
      </c>
      <c r="B3" s="33"/>
      <c r="C3" s="34"/>
      <c r="D3" s="35"/>
      <c r="E3" s="5"/>
      <c r="F3" s="33" t="s">
        <v>43</v>
      </c>
      <c r="G3" s="34"/>
      <c r="H3" s="35"/>
      <c r="I3" s="6">
        <v>2150</v>
      </c>
    </row>
    <row r="4" spans="1:9" x14ac:dyDescent="0.35">
      <c r="A4" s="4">
        <v>45481</v>
      </c>
      <c r="B4" s="31" t="s">
        <v>47</v>
      </c>
      <c r="C4" s="31"/>
      <c r="D4" s="31"/>
      <c r="E4" s="5">
        <v>400</v>
      </c>
      <c r="F4" s="31"/>
      <c r="G4" s="31"/>
      <c r="H4" s="31"/>
      <c r="I4" s="6"/>
    </row>
    <row r="5" spans="1:9" x14ac:dyDescent="0.35">
      <c r="A5" s="4"/>
      <c r="B5" s="31"/>
      <c r="C5" s="31"/>
      <c r="D5" s="31"/>
      <c r="E5" s="5"/>
      <c r="F5" s="31"/>
      <c r="G5" s="31"/>
      <c r="H5" s="31"/>
      <c r="I5" s="6"/>
    </row>
    <row r="6" spans="1:9" ht="15.5" x14ac:dyDescent="0.45">
      <c r="A6" s="4"/>
      <c r="B6" s="31"/>
      <c r="C6" s="31"/>
      <c r="D6" s="31"/>
      <c r="E6" s="12"/>
      <c r="F6" s="31"/>
      <c r="G6" s="31"/>
      <c r="H6" s="31"/>
      <c r="I6" s="11"/>
    </row>
    <row r="7" spans="1:9" x14ac:dyDescent="0.35">
      <c r="A7" s="4"/>
      <c r="B7" s="31"/>
      <c r="C7" s="31"/>
      <c r="D7" s="31"/>
      <c r="E7" s="5"/>
      <c r="F7" s="31"/>
      <c r="G7" s="31"/>
      <c r="H7" s="31"/>
      <c r="I7" s="6"/>
    </row>
    <row r="8" spans="1:9" x14ac:dyDescent="0.35">
      <c r="A8" s="4"/>
      <c r="B8" s="31"/>
      <c r="C8" s="31"/>
      <c r="D8" s="31"/>
      <c r="E8" s="5"/>
      <c r="F8" s="31"/>
      <c r="G8" s="31"/>
      <c r="H8" s="31"/>
      <c r="I8" s="6"/>
    </row>
    <row r="9" spans="1:9" x14ac:dyDescent="0.35">
      <c r="A9" s="4"/>
      <c r="B9" s="31"/>
      <c r="C9" s="31"/>
      <c r="D9" s="31"/>
      <c r="E9" s="5"/>
      <c r="F9" s="31"/>
      <c r="G9" s="31"/>
      <c r="H9" s="31"/>
      <c r="I9" s="6"/>
    </row>
    <row r="10" spans="1:9" x14ac:dyDescent="0.35">
      <c r="A10" s="4"/>
      <c r="B10" s="31"/>
      <c r="C10" s="31"/>
      <c r="D10" s="31"/>
      <c r="E10" s="5"/>
      <c r="F10" s="31"/>
      <c r="G10" s="31"/>
      <c r="H10" s="31"/>
      <c r="I10" s="6"/>
    </row>
    <row r="11" spans="1:9" x14ac:dyDescent="0.35">
      <c r="A11" s="4"/>
      <c r="B11" s="31"/>
      <c r="C11" s="31"/>
      <c r="D11" s="31"/>
      <c r="E11" s="5"/>
      <c r="F11" s="31"/>
      <c r="G11" s="31"/>
      <c r="H11" s="31"/>
      <c r="I11" s="6"/>
    </row>
    <row r="12" spans="1:9" x14ac:dyDescent="0.35">
      <c r="A12" s="3"/>
      <c r="B12" s="31"/>
      <c r="C12" s="31"/>
      <c r="D12" s="31"/>
      <c r="E12" s="5"/>
      <c r="F12" s="31"/>
      <c r="G12" s="31"/>
      <c r="H12" s="31"/>
      <c r="I12" s="6"/>
    </row>
    <row r="13" spans="1:9" x14ac:dyDescent="0.35">
      <c r="A13" s="3"/>
      <c r="B13" s="31"/>
      <c r="C13" s="31"/>
      <c r="D13" s="31"/>
      <c r="E13" s="5"/>
      <c r="F13" s="31"/>
      <c r="G13" s="31"/>
      <c r="H13" s="31"/>
      <c r="I13" s="6"/>
    </row>
    <row r="14" spans="1:9" x14ac:dyDescent="0.35">
      <c r="A14" s="3"/>
      <c r="B14" s="31"/>
      <c r="C14" s="31"/>
      <c r="D14" s="31"/>
      <c r="E14" s="5"/>
      <c r="F14" s="31"/>
      <c r="G14" s="31"/>
      <c r="H14" s="31"/>
      <c r="I14" s="6"/>
    </row>
    <row r="15" spans="1:9" x14ac:dyDescent="0.35">
      <c r="A15" s="3"/>
      <c r="B15" s="31"/>
      <c r="C15" s="31"/>
      <c r="D15" s="31"/>
      <c r="E15" s="5"/>
      <c r="F15" s="31"/>
      <c r="G15" s="31"/>
      <c r="H15" s="31"/>
      <c r="I15" s="6"/>
    </row>
    <row r="16" spans="1:9" x14ac:dyDescent="0.35">
      <c r="A16" s="3"/>
      <c r="B16" s="31"/>
      <c r="C16" s="31"/>
      <c r="D16" s="31"/>
      <c r="E16" s="5"/>
      <c r="F16" s="31"/>
      <c r="G16" s="31"/>
      <c r="H16" s="31"/>
      <c r="I16" s="6"/>
    </row>
    <row r="17" spans="1:9" x14ac:dyDescent="0.35">
      <c r="A17" s="3"/>
      <c r="B17" s="31"/>
      <c r="C17" s="31"/>
      <c r="D17" s="31"/>
      <c r="E17" s="5"/>
      <c r="F17" s="31"/>
      <c r="G17" s="31"/>
      <c r="H17" s="31"/>
      <c r="I17" s="6"/>
    </row>
    <row r="18" spans="1:9" x14ac:dyDescent="0.35">
      <c r="A18" s="3"/>
      <c r="B18" s="31"/>
      <c r="C18" s="31"/>
      <c r="D18" s="31"/>
      <c r="E18" s="5"/>
      <c r="F18" s="31"/>
      <c r="G18" s="31"/>
      <c r="H18" s="31"/>
      <c r="I18" s="6"/>
    </row>
    <row r="19" spans="1:9" x14ac:dyDescent="0.35">
      <c r="A19" s="3"/>
      <c r="B19" s="31"/>
      <c r="C19" s="31"/>
      <c r="D19" s="31"/>
      <c r="E19" s="5"/>
      <c r="F19" s="31"/>
      <c r="G19" s="31"/>
      <c r="H19" s="31"/>
      <c r="I19" s="6"/>
    </row>
    <row r="20" spans="1:9" x14ac:dyDescent="0.35">
      <c r="A20" s="3"/>
      <c r="B20" s="31"/>
      <c r="C20" s="31"/>
      <c r="D20" s="31"/>
      <c r="E20" s="5"/>
      <c r="F20" s="31"/>
      <c r="G20" s="31"/>
      <c r="H20" s="31"/>
      <c r="I20" s="6"/>
    </row>
    <row r="21" spans="1:9" x14ac:dyDescent="0.35">
      <c r="A21" s="3"/>
      <c r="B21" s="31"/>
      <c r="C21" s="31"/>
      <c r="D21" s="31"/>
      <c r="E21" s="5"/>
      <c r="F21" s="31"/>
      <c r="G21" s="31"/>
      <c r="H21" s="31"/>
      <c r="I21" s="6"/>
    </row>
    <row r="22" spans="1:9" x14ac:dyDescent="0.35">
      <c r="A22" s="3"/>
      <c r="B22" s="31"/>
      <c r="C22" s="31"/>
      <c r="D22" s="31"/>
      <c r="E22" s="5"/>
      <c r="F22" s="31"/>
      <c r="G22" s="31"/>
      <c r="H22" s="31"/>
      <c r="I22" s="6"/>
    </row>
    <row r="23" spans="1:9" x14ac:dyDescent="0.35">
      <c r="A23" s="3"/>
      <c r="B23" s="31"/>
      <c r="C23" s="31"/>
      <c r="D23" s="31"/>
      <c r="E23" s="5"/>
      <c r="F23" s="31"/>
      <c r="G23" s="31"/>
      <c r="H23" s="31"/>
      <c r="I23" s="6"/>
    </row>
    <row r="24" spans="1:9" x14ac:dyDescent="0.35">
      <c r="A24" s="3"/>
      <c r="B24" s="31"/>
      <c r="C24" s="31"/>
      <c r="D24" s="31"/>
      <c r="E24" s="5"/>
      <c r="F24" s="31"/>
      <c r="G24" s="31"/>
      <c r="H24" s="31"/>
      <c r="I24" s="6"/>
    </row>
    <row r="25" spans="1:9" x14ac:dyDescent="0.35">
      <c r="A25" s="3"/>
      <c r="B25" s="31"/>
      <c r="C25" s="31"/>
      <c r="D25" s="31"/>
      <c r="E25" s="5"/>
      <c r="F25" s="31"/>
      <c r="G25" s="31"/>
      <c r="H25" s="31"/>
      <c r="I25" s="6"/>
    </row>
    <row r="26" spans="1:9" x14ac:dyDescent="0.35">
      <c r="A26" s="3"/>
      <c r="B26" s="31"/>
      <c r="C26" s="31"/>
      <c r="D26" s="31"/>
      <c r="E26" s="5"/>
      <c r="F26" s="31"/>
      <c r="G26" s="31"/>
      <c r="H26" s="31"/>
      <c r="I26" s="6"/>
    </row>
    <row r="27" spans="1:9" x14ac:dyDescent="0.35">
      <c r="A27" s="3"/>
      <c r="B27" s="31"/>
      <c r="C27" s="31"/>
      <c r="D27" s="31"/>
      <c r="E27" s="5"/>
      <c r="F27" s="31"/>
      <c r="G27" s="31"/>
      <c r="H27" s="31"/>
      <c r="I27" s="6"/>
    </row>
    <row r="28" spans="1:9" x14ac:dyDescent="0.35">
      <c r="A28" s="3"/>
      <c r="B28" s="31"/>
      <c r="C28" s="31"/>
      <c r="D28" s="31"/>
      <c r="E28" s="5"/>
      <c r="F28" s="31"/>
      <c r="G28" s="31"/>
      <c r="H28" s="31"/>
      <c r="I28" s="6"/>
    </row>
    <row r="29" spans="1:9" x14ac:dyDescent="0.35">
      <c r="A29" s="3"/>
      <c r="B29" s="31"/>
      <c r="C29" s="31"/>
      <c r="D29" s="31"/>
      <c r="E29" s="5"/>
      <c r="F29" s="31"/>
      <c r="G29" s="31"/>
      <c r="H29" s="31"/>
      <c r="I29" s="6"/>
    </row>
    <row r="30" spans="1:9" x14ac:dyDescent="0.35">
      <c r="A30" s="3"/>
      <c r="B30" s="31"/>
      <c r="C30" s="31"/>
      <c r="D30" s="31"/>
      <c r="E30" s="5"/>
      <c r="F30" s="31"/>
      <c r="G30" s="31"/>
      <c r="H30" s="31"/>
      <c r="I30" s="6"/>
    </row>
    <row r="31" spans="1:9" x14ac:dyDescent="0.35">
      <c r="A31" s="3"/>
      <c r="B31" s="31" t="s">
        <v>19</v>
      </c>
      <c r="C31" s="31"/>
      <c r="D31" s="31"/>
      <c r="E31" s="5"/>
      <c r="F31" s="31"/>
      <c r="G31" s="31"/>
      <c r="H31" s="31"/>
      <c r="I31" s="6"/>
    </row>
    <row r="32" spans="1:9" x14ac:dyDescent="0.35">
      <c r="A32" s="3"/>
      <c r="B32" s="31"/>
      <c r="C32" s="31"/>
      <c r="D32" s="31"/>
      <c r="E32" s="5"/>
      <c r="F32" s="31"/>
      <c r="G32" s="31"/>
      <c r="H32" s="31"/>
      <c r="I32" s="6"/>
    </row>
    <row r="33" spans="1:9" x14ac:dyDescent="0.35">
      <c r="A33" s="3"/>
      <c r="B33" s="31"/>
      <c r="C33" s="31"/>
      <c r="D33" s="31"/>
      <c r="E33" s="5"/>
      <c r="F33" s="31"/>
      <c r="G33" s="31"/>
      <c r="H33" s="31"/>
      <c r="I33" s="6"/>
    </row>
    <row r="34" spans="1:9" x14ac:dyDescent="0.35">
      <c r="A34" s="3"/>
      <c r="B34" s="31"/>
      <c r="C34" s="31"/>
      <c r="D34" s="31"/>
      <c r="E34" s="5"/>
      <c r="F34" s="31"/>
      <c r="G34" s="31"/>
      <c r="H34" s="31"/>
      <c r="I34" s="6"/>
    </row>
    <row r="35" spans="1:9" x14ac:dyDescent="0.35">
      <c r="A35" s="3"/>
      <c r="B35" s="31"/>
      <c r="C35" s="31"/>
      <c r="D35" s="31"/>
      <c r="E35" s="5"/>
      <c r="F35" s="31"/>
      <c r="G35" s="31"/>
      <c r="H35" s="31"/>
      <c r="I35" s="6"/>
    </row>
    <row r="36" spans="1:9" x14ac:dyDescent="0.35">
      <c r="A36" s="3"/>
      <c r="B36" s="31"/>
      <c r="C36" s="31"/>
      <c r="D36" s="31"/>
      <c r="E36" s="5"/>
      <c r="F36" s="31"/>
      <c r="G36" s="31"/>
      <c r="H36" s="31"/>
      <c r="I36" s="6"/>
    </row>
  </sheetData>
  <mergeCells count="71">
    <mergeCell ref="B35:D35"/>
    <mergeCell ref="F35:H35"/>
    <mergeCell ref="B36:D36"/>
    <mergeCell ref="F36:H36"/>
    <mergeCell ref="B32:D32"/>
    <mergeCell ref="F32:H32"/>
    <mergeCell ref="B33:D33"/>
    <mergeCell ref="F33:H33"/>
    <mergeCell ref="B34:D34"/>
    <mergeCell ref="F34:H34"/>
    <mergeCell ref="B29:D29"/>
    <mergeCell ref="F29:H29"/>
    <mergeCell ref="B30:D30"/>
    <mergeCell ref="F30:H30"/>
    <mergeCell ref="B31:D31"/>
    <mergeCell ref="F31:H31"/>
    <mergeCell ref="B26:D26"/>
    <mergeCell ref="F26:H26"/>
    <mergeCell ref="B27:D27"/>
    <mergeCell ref="F27:H27"/>
    <mergeCell ref="B28:D28"/>
    <mergeCell ref="F28:H28"/>
    <mergeCell ref="B23:D23"/>
    <mergeCell ref="F23:H23"/>
    <mergeCell ref="B24:D24"/>
    <mergeCell ref="F24:H24"/>
    <mergeCell ref="B25:D25"/>
    <mergeCell ref="F25:H25"/>
    <mergeCell ref="B20:D20"/>
    <mergeCell ref="F20:H20"/>
    <mergeCell ref="B21:D21"/>
    <mergeCell ref="F21:H21"/>
    <mergeCell ref="B22:D22"/>
    <mergeCell ref="F22:H22"/>
    <mergeCell ref="B17:D17"/>
    <mergeCell ref="F17:H17"/>
    <mergeCell ref="B18:D18"/>
    <mergeCell ref="F18:H18"/>
    <mergeCell ref="B19:D19"/>
    <mergeCell ref="F19:H19"/>
    <mergeCell ref="B14:D14"/>
    <mergeCell ref="F14:H14"/>
    <mergeCell ref="B15:D15"/>
    <mergeCell ref="F15:H15"/>
    <mergeCell ref="B16:D16"/>
    <mergeCell ref="F16:H16"/>
    <mergeCell ref="B11:D11"/>
    <mergeCell ref="F11:H11"/>
    <mergeCell ref="B12:D12"/>
    <mergeCell ref="F12:H12"/>
    <mergeCell ref="B13:D13"/>
    <mergeCell ref="F13:H13"/>
    <mergeCell ref="B8:D8"/>
    <mergeCell ref="F8:H8"/>
    <mergeCell ref="B9:D9"/>
    <mergeCell ref="F9:H9"/>
    <mergeCell ref="B10:D10"/>
    <mergeCell ref="F10:H10"/>
    <mergeCell ref="B5:D5"/>
    <mergeCell ref="F5:H5"/>
    <mergeCell ref="B6:D6"/>
    <mergeCell ref="F6:H6"/>
    <mergeCell ref="B7:D7"/>
    <mergeCell ref="F7:H7"/>
    <mergeCell ref="B4:D4"/>
    <mergeCell ref="F4:H4"/>
    <mergeCell ref="A1:I1"/>
    <mergeCell ref="B2:D2"/>
    <mergeCell ref="F2:H2"/>
    <mergeCell ref="B3:D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Mhitsa</vt:lpstr>
      <vt:lpstr>Soltam Steel</vt:lpstr>
      <vt:lpstr>Mr Moyo</vt:lpstr>
      <vt:lpstr>Fawcetts</vt:lpstr>
      <vt:lpstr>Nzara ZBC</vt:lpstr>
      <vt:lpstr>No Leak Motors</vt:lpstr>
      <vt:lpstr>Gango</vt:lpstr>
      <vt:lpstr>Masaiti</vt:lpstr>
      <vt:lpstr>Chabaya</vt:lpstr>
      <vt:lpstr>UTD</vt:lpstr>
      <vt:lpstr>Mazinyane</vt:lpstr>
      <vt:lpstr>Sheet2</vt:lpstr>
      <vt:lpstr>Mazowe</vt:lpstr>
      <vt:lpstr>Mazhanje</vt:lpstr>
      <vt:lpstr>Optimus</vt:lpstr>
      <vt:lpstr>Proton Bakers</vt:lpstr>
      <vt:lpstr>Mr Katimu</vt:lpstr>
      <vt:lpstr>Tauzen</vt:lpstr>
      <vt:lpstr>Mr Washington</vt:lpstr>
      <vt:lpstr>Bveke</vt:lpstr>
      <vt:lpstr>Mr Mukote</vt:lpstr>
      <vt:lpstr>Castflow</vt:lpstr>
      <vt:lpstr>Tabatana</vt:lpstr>
      <vt:lpstr>Lisheen</vt:lpstr>
      <vt:lpstr>Cailogistics</vt:lpstr>
      <vt:lpstr>Mr Bhobho</vt:lpstr>
      <vt:lpstr>Maxcede</vt:lpstr>
      <vt:lpstr>Shambare</vt:lpstr>
      <vt:lpstr>Mr Cruiser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Tinashe Dawa</dc:creator>
  <cp:lastModifiedBy>Hp</cp:lastModifiedBy>
  <cp:lastPrinted>2025-09-15T08:33:22Z</cp:lastPrinted>
  <dcterms:created xsi:type="dcterms:W3CDTF">2024-04-09T07:49:20Z</dcterms:created>
  <dcterms:modified xsi:type="dcterms:W3CDTF">2025-09-15T08:42:35Z</dcterms:modified>
</cp:coreProperties>
</file>